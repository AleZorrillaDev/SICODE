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umno\Desktop\"/>
    </mc:Choice>
  </mc:AlternateContent>
  <xr:revisionPtr revIDLastSave="0" documentId="13_ncr:1_{34E63759-C36C-4AEE-9761-1631667EC3C7}" xr6:coauthVersionLast="36" xr6:coauthVersionMax="47" xr10:uidLastSave="{00000000-0000-0000-0000-000000000000}"/>
  <bookViews>
    <workbookView xWindow="0" yWindow="0" windowWidth="28800" windowHeight="12105" tabRatio="654" activeTab="3" xr2:uid="{00000000-000D-0000-FFFF-FFFF00000000}"/>
  </bookViews>
  <sheets>
    <sheet name="CONSOLIDADO1" sheetId="1" r:id="rId1"/>
    <sheet name="NOTAS-CISCO-CAP1-4 y del 14-16" sheetId="2" r:id="rId2"/>
    <sheet name="PARCIAL" sheetId="3" r:id="rId3"/>
    <sheet name="CONSOLIDADO 2" sheetId="4" r:id="rId4"/>
    <sheet name="NOTAS-CISCO-CAP5-FINAL" sheetId="5" r:id="rId5"/>
    <sheet name="EXAMEN FINAL" sheetId="6" r:id="rId6"/>
    <sheet name="RESULTADO FINAL" sheetId="7" r:id="rId7"/>
  </sheets>
  <calcPr calcId="191029"/>
</workbook>
</file>

<file path=xl/calcChain.xml><?xml version="1.0" encoding="utf-8"?>
<calcChain xmlns="http://schemas.openxmlformats.org/spreadsheetml/2006/main">
  <c r="B4" i="7" l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F38" i="6" l="1"/>
  <c r="F39" i="6"/>
  <c r="F40" i="6"/>
  <c r="F41" i="6"/>
  <c r="F42" i="6"/>
  <c r="F43" i="6"/>
  <c r="K41" i="5"/>
  <c r="K42" i="5"/>
  <c r="K43" i="5"/>
  <c r="G41" i="5"/>
  <c r="L41" i="5" s="1"/>
  <c r="M41" i="5" s="1"/>
  <c r="G42" i="5"/>
  <c r="L42" i="5" s="1"/>
  <c r="M42" i="5" s="1"/>
  <c r="G43" i="5"/>
  <c r="L43" i="5" s="1"/>
  <c r="M43" i="5" s="1"/>
  <c r="F3" i="4"/>
  <c r="F33" i="4"/>
  <c r="H33" i="4" s="1"/>
  <c r="F34" i="4"/>
  <c r="H34" i="4" s="1"/>
  <c r="F35" i="4"/>
  <c r="H35" i="4" s="1"/>
  <c r="F36" i="4"/>
  <c r="H36" i="4" s="1"/>
  <c r="F37" i="4"/>
  <c r="H37" i="4" s="1"/>
  <c r="F32" i="3"/>
  <c r="F33" i="3"/>
  <c r="F34" i="3"/>
  <c r="F35" i="3"/>
  <c r="F36" i="3"/>
  <c r="D31" i="2"/>
  <c r="E31" i="2" s="1"/>
  <c r="D32" i="2"/>
  <c r="E32" i="2" s="1"/>
  <c r="D33" i="2"/>
  <c r="E33" i="2" s="1"/>
  <c r="D34" i="2"/>
  <c r="E34" i="2" s="1"/>
  <c r="D35" i="2"/>
  <c r="E35" i="2" s="1"/>
  <c r="D36" i="2"/>
  <c r="E36" i="2" s="1"/>
  <c r="F31" i="1"/>
  <c r="H31" i="1" s="1"/>
  <c r="F32" i="1"/>
  <c r="H32" i="1" s="1"/>
  <c r="F33" i="1"/>
  <c r="H33" i="1" s="1"/>
  <c r="F34" i="1"/>
  <c r="H34" i="1" s="1"/>
  <c r="F35" i="1"/>
  <c r="H35" i="1" s="1"/>
  <c r="L40" i="5"/>
  <c r="M40" i="5" s="1"/>
  <c r="K37" i="5"/>
  <c r="K38" i="5"/>
  <c r="K39" i="5"/>
  <c r="K40" i="5"/>
  <c r="G37" i="5"/>
  <c r="L37" i="5" s="1"/>
  <c r="M37" i="5" s="1"/>
  <c r="G38" i="5"/>
  <c r="L38" i="5" s="1"/>
  <c r="M38" i="5" s="1"/>
  <c r="G39" i="5"/>
  <c r="L39" i="5" s="1"/>
  <c r="M39" i="5" s="1"/>
  <c r="G40" i="5"/>
  <c r="L13" i="5"/>
  <c r="M13" i="5" s="1"/>
  <c r="L14" i="5"/>
  <c r="M14" i="5" s="1"/>
  <c r="L18" i="5"/>
  <c r="M18" i="5" s="1"/>
  <c r="L29" i="5"/>
  <c r="M29" i="5" s="1"/>
  <c r="L30" i="5"/>
  <c r="M30" i="5" s="1"/>
  <c r="L34" i="5"/>
  <c r="M34" i="5" s="1"/>
  <c r="K2" i="5"/>
  <c r="G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G3" i="5"/>
  <c r="L3" i="5" s="1"/>
  <c r="M3" i="5" s="1"/>
  <c r="G4" i="5"/>
  <c r="L4" i="5" s="1"/>
  <c r="M4" i="5" s="1"/>
  <c r="G5" i="5"/>
  <c r="L5" i="5" s="1"/>
  <c r="M5" i="5" s="1"/>
  <c r="G6" i="5"/>
  <c r="L6" i="5" s="1"/>
  <c r="M6" i="5" s="1"/>
  <c r="G7" i="5"/>
  <c r="L7" i="5" s="1"/>
  <c r="M7" i="5" s="1"/>
  <c r="G8" i="5"/>
  <c r="L8" i="5" s="1"/>
  <c r="M8" i="5" s="1"/>
  <c r="G9" i="5"/>
  <c r="L9" i="5" s="1"/>
  <c r="M9" i="5" s="1"/>
  <c r="G10" i="5"/>
  <c r="L10" i="5" s="1"/>
  <c r="M10" i="5" s="1"/>
  <c r="G11" i="5"/>
  <c r="L11" i="5" s="1"/>
  <c r="M11" i="5" s="1"/>
  <c r="G12" i="5"/>
  <c r="L12" i="5" s="1"/>
  <c r="M12" i="5" s="1"/>
  <c r="G13" i="5"/>
  <c r="G14" i="5"/>
  <c r="G15" i="5"/>
  <c r="L15" i="5" s="1"/>
  <c r="M15" i="5" s="1"/>
  <c r="G16" i="5"/>
  <c r="L16" i="5" s="1"/>
  <c r="M16" i="5" s="1"/>
  <c r="G17" i="5"/>
  <c r="L17" i="5" s="1"/>
  <c r="M17" i="5" s="1"/>
  <c r="G18" i="5"/>
  <c r="G19" i="5"/>
  <c r="L19" i="5" s="1"/>
  <c r="M19" i="5" s="1"/>
  <c r="G20" i="5"/>
  <c r="L20" i="5" s="1"/>
  <c r="M20" i="5" s="1"/>
  <c r="G21" i="5"/>
  <c r="L21" i="5" s="1"/>
  <c r="M21" i="5" s="1"/>
  <c r="G22" i="5"/>
  <c r="L22" i="5" s="1"/>
  <c r="M22" i="5" s="1"/>
  <c r="G23" i="5"/>
  <c r="L23" i="5" s="1"/>
  <c r="M23" i="5" s="1"/>
  <c r="G24" i="5"/>
  <c r="L24" i="5" s="1"/>
  <c r="M24" i="5" s="1"/>
  <c r="G25" i="5"/>
  <c r="L25" i="5" s="1"/>
  <c r="M25" i="5" s="1"/>
  <c r="G26" i="5"/>
  <c r="L26" i="5" s="1"/>
  <c r="M26" i="5" s="1"/>
  <c r="G27" i="5"/>
  <c r="L27" i="5" s="1"/>
  <c r="M27" i="5" s="1"/>
  <c r="G28" i="5"/>
  <c r="L28" i="5" s="1"/>
  <c r="M28" i="5" s="1"/>
  <c r="G29" i="5"/>
  <c r="G30" i="5"/>
  <c r="G31" i="5"/>
  <c r="L31" i="5" s="1"/>
  <c r="M31" i="5" s="1"/>
  <c r="G32" i="5"/>
  <c r="L32" i="5" s="1"/>
  <c r="M32" i="5" s="1"/>
  <c r="G33" i="5"/>
  <c r="L33" i="5" s="1"/>
  <c r="M33" i="5" s="1"/>
  <c r="G34" i="5"/>
  <c r="G35" i="5"/>
  <c r="L35" i="5" s="1"/>
  <c r="M35" i="5" s="1"/>
  <c r="G36" i="5"/>
  <c r="L36" i="5" s="1"/>
  <c r="M36" i="5" s="1"/>
  <c r="F23" i="4"/>
  <c r="H23" i="4" s="1"/>
  <c r="F24" i="4"/>
  <c r="H24" i="4" s="1"/>
  <c r="F25" i="4"/>
  <c r="H25" i="4" s="1"/>
  <c r="F26" i="4"/>
  <c r="H26" i="4" s="1"/>
  <c r="F27" i="4"/>
  <c r="H27" i="4" s="1"/>
  <c r="F28" i="4"/>
  <c r="H28" i="4" s="1"/>
  <c r="F29" i="4"/>
  <c r="H29" i="4" s="1"/>
  <c r="F30" i="4"/>
  <c r="H30" i="4" s="1"/>
  <c r="F31" i="4"/>
  <c r="H31" i="4" s="1"/>
  <c r="F32" i="4"/>
  <c r="H32" i="4" s="1"/>
  <c r="F28" i="6"/>
  <c r="F29" i="6"/>
  <c r="F30" i="6"/>
  <c r="F31" i="6"/>
  <c r="F32" i="6"/>
  <c r="F33" i="6"/>
  <c r="F34" i="6"/>
  <c r="F35" i="6"/>
  <c r="F36" i="6"/>
  <c r="F37" i="6"/>
  <c r="L2" i="5" l="1"/>
  <c r="F21" i="3"/>
  <c r="F22" i="3"/>
  <c r="F23" i="3"/>
  <c r="F24" i="3"/>
  <c r="F25" i="3"/>
  <c r="F26" i="3"/>
  <c r="F27" i="3"/>
  <c r="F28" i="3"/>
  <c r="F29" i="3"/>
  <c r="F30" i="3"/>
  <c r="F31" i="3"/>
  <c r="D30" i="2"/>
  <c r="E30" i="2" s="1"/>
  <c r="D19" i="2"/>
  <c r="E19" i="2" s="1"/>
  <c r="D20" i="2"/>
  <c r="E20" i="2" s="1"/>
  <c r="D21" i="2"/>
  <c r="E21" i="2" s="1"/>
  <c r="D22" i="2"/>
  <c r="E22" i="2" s="1"/>
  <c r="D23" i="2"/>
  <c r="E23" i="2" s="1"/>
  <c r="D24" i="2"/>
  <c r="E24" i="2" s="1"/>
  <c r="D25" i="2"/>
  <c r="E25" i="2" s="1"/>
  <c r="D26" i="2"/>
  <c r="E26" i="2" s="1"/>
  <c r="D27" i="2"/>
  <c r="E27" i="2" s="1"/>
  <c r="D28" i="2"/>
  <c r="E28" i="2" s="1"/>
  <c r="D29" i="2"/>
  <c r="E29" i="2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19" i="4"/>
  <c r="H19" i="4" s="1"/>
  <c r="F20" i="4"/>
  <c r="H20" i="4" s="1"/>
  <c r="F21" i="4"/>
  <c r="H21" i="4" s="1"/>
  <c r="B21" i="7" s="1"/>
  <c r="F22" i="4"/>
  <c r="H22" i="4" s="1"/>
  <c r="F18" i="3"/>
  <c r="F19" i="3"/>
  <c r="F20" i="3"/>
  <c r="D15" i="2" l="1"/>
  <c r="E15" i="2" s="1"/>
  <c r="D16" i="2"/>
  <c r="E16" i="2" s="1"/>
  <c r="D17" i="2"/>
  <c r="E17" i="2" s="1"/>
  <c r="D18" i="2"/>
  <c r="E18" i="2" s="1"/>
  <c r="F16" i="1"/>
  <c r="H16" i="1" s="1"/>
  <c r="F17" i="1"/>
  <c r="H17" i="1" s="1"/>
  <c r="F18" i="1"/>
  <c r="H18" i="1" s="1"/>
  <c r="F19" i="1"/>
  <c r="H19" i="1" s="1"/>
  <c r="D13" i="2" l="1"/>
  <c r="E13" i="2" s="1"/>
  <c r="D14" i="2"/>
  <c r="E14" i="2" s="1"/>
  <c r="F11" i="1"/>
  <c r="H11" i="1" s="1"/>
  <c r="F12" i="1"/>
  <c r="H12" i="1" s="1"/>
  <c r="F13" i="1"/>
  <c r="H13" i="1" s="1"/>
  <c r="F14" i="1"/>
  <c r="H14" i="1" s="1"/>
  <c r="F15" i="1"/>
  <c r="H15" i="1" s="1"/>
  <c r="F14" i="4" l="1"/>
  <c r="F15" i="4"/>
  <c r="F16" i="4"/>
  <c r="F17" i="4"/>
  <c r="F18" i="4"/>
  <c r="F11" i="3" l="1"/>
  <c r="F12" i="3"/>
  <c r="F13" i="3"/>
  <c r="F14" i="3"/>
  <c r="F15" i="3"/>
  <c r="F16" i="3"/>
  <c r="F17" i="3"/>
  <c r="D2" i="2"/>
  <c r="E2" i="2" s="1"/>
  <c r="D3" i="2"/>
  <c r="E3" i="2" s="1"/>
  <c r="D4" i="2"/>
  <c r="E4" i="2" s="1"/>
  <c r="D5" i="2"/>
  <c r="E5" i="2" s="1"/>
  <c r="D6" i="2"/>
  <c r="E6" i="2" s="1"/>
  <c r="D7" i="2"/>
  <c r="E7" i="2" s="1"/>
  <c r="D8" i="2"/>
  <c r="E8" i="2" s="1"/>
  <c r="D9" i="2"/>
  <c r="E9" i="2" s="1"/>
  <c r="D10" i="2"/>
  <c r="E10" i="2" s="1"/>
  <c r="D11" i="2"/>
  <c r="E11" i="2" s="1"/>
  <c r="D12" i="2"/>
  <c r="E12" i="2" s="1"/>
  <c r="F8" i="1"/>
  <c r="H8" i="1" s="1"/>
  <c r="F9" i="1"/>
  <c r="H9" i="1" s="1"/>
  <c r="F10" i="1"/>
  <c r="H10" i="1" s="1"/>
  <c r="F4" i="4"/>
  <c r="F5" i="4"/>
  <c r="F6" i="4"/>
  <c r="F7" i="4"/>
  <c r="F8" i="4"/>
  <c r="F9" i="4"/>
  <c r="F10" i="4"/>
  <c r="F11" i="4"/>
  <c r="F12" i="4"/>
  <c r="F13" i="4"/>
  <c r="F5" i="1"/>
  <c r="F6" i="1"/>
  <c r="F7" i="1"/>
  <c r="M2" i="5" l="1"/>
  <c r="H6" i="1"/>
  <c r="H7" i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F10" i="3"/>
  <c r="F3" i="1"/>
  <c r="H3" i="1" s="1"/>
  <c r="F4" i="1"/>
  <c r="H4" i="1" s="1"/>
  <c r="H5" i="1"/>
  <c r="F3" i="6"/>
  <c r="F4" i="3"/>
  <c r="F5" i="3"/>
  <c r="F6" i="3"/>
  <c r="F7" i="3"/>
  <c r="F8" i="3"/>
  <c r="F9" i="3"/>
  <c r="F3" i="3"/>
  <c r="B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tc={02FED681-3CB5-49A9-9C58-9C9E74381441}</author>
    <author>tc={1BB01224-5F1C-41C8-9D4C-6172C9494EF3}</author>
    <author>tc={A5DBF10D-5ECF-48D6-AC36-C521F7C3185C}</author>
    <author>tc={D03D3AF3-1A3E-48AC-952B-838EF98256EF}</author>
    <author>tc={70697699-D96A-4BF5-AE0E-8C9960EC9E51}</author>
    <author>tc={D6C6410B-8F9C-41A1-843B-B1CEB06C0084}</author>
    <author>tc={84326B39-1A1E-4DA7-84A8-667370DD2C80}</author>
    <author>tc={28358ECF-58C2-4AEF-AD01-9FC73B741C0F}</author>
    <author>tc={3F7E8E30-DAEB-4CCC-AF3D-AAD0F6C4A1DC}</author>
    <author>tc={4D6A27CF-E1F5-4C6B-829F-1A9F1A311063}</author>
    <author>tc={BF2FEFB5-EEF2-490D-9F14-A27EE99B7E48}</author>
    <author>tc={6B059825-04BA-40F6-B53B-6705C338B494}</author>
    <author>tc={51EF9B6D-4BD2-4911-BEBF-A51172BFA8E0}</author>
    <author>tc={7A41135F-9EF8-424C-850F-118C03A78A59}</author>
    <author>tc={7038220B-20C2-4FFD-A438-C833963A7BAE}</author>
    <author>tc={BC641B46-C94D-4539-A6C7-EF49915F23FB}</author>
    <author>tc={EDBD60AF-A107-4537-8CDE-C9D189A03BA8}</author>
    <author>tc={50B47D35-99B6-47A6-9DE4-0D02312CC965}</author>
    <author>tc={6A4447F7-F0EE-4F2D-B1E1-8CDD4A19FC11}</author>
    <author>tc={2B1BAC55-E711-44F3-9BEF-B31995DE587E}</author>
    <author>tc={E78086DE-D926-4A6F-9FBC-6207273EB2C7}</author>
    <author>tc={E6EBAB23-143E-47F0-A6D8-48B1E3C7D437}</author>
    <author>tc={E46E2EE0-F698-41F1-838A-1C83A4A95DD4}</author>
    <author>tc={3943809E-5299-465A-A9A9-96E4E50D95D1}</author>
    <author>tc={D18ACEE8-C548-4A8C-B950-B3BB9C9C1A04}</author>
    <author>tc={3A97B7C7-42ED-4244-B7BF-1EB97615D79B}</author>
    <author>tc={DB2C47F5-093F-4735-8912-D56A3A9B4838}</author>
    <author>tc={782A3C28-63F8-45F6-8A32-A4AD2F64EAF6}</author>
    <author>tc={099F359E-BF3F-453C-8677-610DAFC6F7ED}</author>
    <author>tc={C4A34E59-C59D-4920-B694-AD9A8F951073}</author>
    <author>tc={7697C8A4-B5B3-4E6E-95D7-9EE934703183}</author>
    <author>tc={1011C236-2FAB-405D-A2F5-FF36C0EFD710}</author>
    <author>tc={8616CF7A-0CE2-4D86-9D82-E3DF0B3783E1}</author>
    <author>tc={12B9E006-1B5C-480F-9D2B-BA766698A970}</author>
  </authors>
  <commentList>
    <comment ref="D3" authorId="0" shapeId="0" xr:uid="{02FED681-3CB5-49A9-9C58-9C9E74381441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03-09-2025</t>
        </r>
      </text>
    </comment>
    <comment ref="E3" authorId="1" shapeId="0" xr:uid="{1BB01224-5F1C-41C8-9D4C-6172C9494EF3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</t>
        </r>
      </text>
    </comment>
    <comment ref="D5" authorId="2" shapeId="0" xr:uid="{A5DBF10D-5ECF-48D6-AC36-C521F7C3185C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27-08-2025
+1 DEL 03-09-2025</t>
        </r>
      </text>
    </comment>
    <comment ref="E5" authorId="3" shapeId="0" xr:uid="{D03D3AF3-1A3E-48AC-952B-838EF98256EF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</t>
        </r>
      </text>
    </comment>
    <comment ref="D6" authorId="4" shapeId="0" xr:uid="{70697699-D96A-4BF5-AE0E-8C9960EC9E51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03-09-2025</t>
        </r>
      </text>
    </comment>
    <comment ref="E6" authorId="5" shapeId="0" xr:uid="{D6C6410B-8F9C-41A1-843B-B1CEB06C0084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</t>
        </r>
      </text>
    </comment>
    <comment ref="D7" authorId="6" shapeId="0" xr:uid="{84326B39-1A1E-4DA7-84A8-667370DD2C80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
+1 DEL 03-09-2025</t>
        </r>
      </text>
    </comment>
    <comment ref="E7" authorId="7" shapeId="0" xr:uid="{28358ECF-58C2-4AEF-AD01-9FC73B741C0F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</t>
        </r>
      </text>
    </comment>
    <comment ref="D8" authorId="8" shapeId="0" xr:uid="{3F7E8E30-DAEB-4CCC-AF3D-AAD0F6C4A1DC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
+2 DEL 03-09-2025</t>
        </r>
      </text>
    </comment>
    <comment ref="D9" authorId="9" shapeId="0" xr:uid="{4D6A27CF-E1F5-4C6B-829F-1A9F1A311063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03-09-2025</t>
        </r>
      </text>
    </comment>
    <comment ref="E9" authorId="10" shapeId="0" xr:uid="{BF2FEFB5-EEF2-490D-9F14-A27EE99B7E48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</t>
        </r>
      </text>
    </comment>
    <comment ref="E10" authorId="11" shapeId="0" xr:uid="{6B059825-04BA-40F6-B53B-6705C338B494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
+1 DEL 03-09-2025</t>
        </r>
      </text>
    </comment>
    <comment ref="E11" authorId="12" shapeId="0" xr:uid="{51EF9B6D-4BD2-4911-BEBF-A51172BFA8E0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
+2 DEL 03-09-2025</t>
        </r>
      </text>
    </comment>
    <comment ref="D12" authorId="13" shapeId="0" xr:uid="{7A41135F-9EF8-424C-850F-118C03A78A59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27-08-2025
+1 DEL 03-09-2025</t>
        </r>
      </text>
    </comment>
    <comment ref="E12" authorId="14" shapeId="0" xr:uid="{7038220B-20C2-4FFD-A438-C833963A7BAE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20-08-2025</t>
        </r>
      </text>
    </comment>
    <comment ref="D13" authorId="15" shapeId="0" xr:uid="{BC641B46-C94D-4539-A6C7-EF49915F23FB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20-08-2025
+2 DEL 27-08-2025
+1 DEL 03-09-2025
+1 DEL 10-09-2025</t>
        </r>
      </text>
    </comment>
    <comment ref="D14" authorId="16" shapeId="0" xr:uid="{EDBD60AF-A107-4537-8CDE-C9D189A03BA8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27-08-2025
+1 DEL 03-09-2025</t>
        </r>
      </text>
    </comment>
    <comment ref="E14" authorId="17" shapeId="0" xr:uid="{50B47D35-99B6-47A6-9DE4-0D02312CC965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</t>
        </r>
      </text>
    </comment>
    <comment ref="D15" authorId="18" shapeId="0" xr:uid="{6A4447F7-F0EE-4F2D-B1E1-8CDD4A19FC11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27-08-2025
+1 DEL 03-09-2025</t>
        </r>
      </text>
    </comment>
    <comment ref="E15" authorId="19" shapeId="0" xr:uid="{2B1BAC55-E711-44F3-9BEF-B31995DE587E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</t>
        </r>
      </text>
    </comment>
    <comment ref="D16" authorId="20" shapeId="0" xr:uid="{E78086DE-D926-4A6F-9FBC-6207273EB2C7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27-08-2025
+1 DEL 03-09-2025</t>
        </r>
      </text>
    </comment>
    <comment ref="E16" authorId="21" shapeId="0" xr:uid="{E6EBAB23-143E-47F0-A6D8-48B1E3C7D437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</t>
        </r>
      </text>
    </comment>
    <comment ref="D17" authorId="22" shapeId="0" xr:uid="{E46E2EE0-F698-41F1-838A-1C83A4A95DD4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20-08-2025
+2 DEL 27-08-2025
+2 DEL 03-09-2025</t>
        </r>
      </text>
    </comment>
    <comment ref="D18" authorId="23" shapeId="0" xr:uid="{3943809E-5299-465A-A9A9-96E4E50D95D1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03-09-2025</t>
        </r>
      </text>
    </comment>
    <comment ref="E18" authorId="24" shapeId="0" xr:uid="{D18ACEE8-C548-4A8C-B950-B3BB9C9C1A04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</t>
        </r>
      </text>
    </comment>
    <comment ref="D19" authorId="25" shapeId="0" xr:uid="{3A97B7C7-42ED-4244-B7BF-1EB97615D79B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20-08-2025
+2 DEL 27-08-2025
+2 DEL 03-09-2025</t>
        </r>
      </text>
    </comment>
    <comment ref="D20" authorId="26" shapeId="0" xr:uid="{DB2C47F5-093F-4735-8912-D56A3A9B4838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27-08-2025
+1 DEL 03-09-2025
+1 DEL 10-09-2025</t>
        </r>
      </text>
    </comment>
    <comment ref="E20" authorId="27" shapeId="0" xr:uid="{782A3C28-63F8-45F6-8A32-A4AD2F64EAF6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20-08-2025
+1 DEL 27-08-2025</t>
        </r>
      </text>
    </comment>
    <comment ref="D21" authorId="28" shapeId="0" xr:uid="{099F359E-BF3F-453C-8677-610DAFC6F7ED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20-08-2025
+2 DEL 27-08-2025
+2 DEL 03-09-2025</t>
        </r>
      </text>
    </comment>
    <comment ref="D22" authorId="29" shapeId="0" xr:uid="{C4A34E59-C59D-4920-B694-AD9A8F951073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
+1 DEL 03-09-2025</t>
        </r>
      </text>
    </comment>
    <comment ref="D23" authorId="30" shapeId="0" xr:uid="{7697C8A4-B5B3-4E6E-95D7-9EE934703183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
+1 DEL 03-09-2025</t>
        </r>
      </text>
    </comment>
    <comment ref="D24" authorId="31" shapeId="0" xr:uid="{1011C236-2FAB-405D-A2F5-FF36C0EFD710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
+2 DEL 27-08-2025
+1 DEL 03-09-2025</t>
        </r>
      </text>
    </comment>
    <comment ref="E24" authorId="32" shapeId="0" xr:uid="{8616CF7A-0CE2-4D86-9D82-E3DF0B3783E1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+1 DEL 20-08-2025</t>
        </r>
      </text>
    </comment>
    <comment ref="D25" authorId="33" shapeId="0" xr:uid="{12B9E006-1B5C-480F-9D2B-BA766698A970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+2 DEL 20-08-2025
+2 DEL 27-08-2025
+1 DEL 03-09-2025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tc={91B3EBA1-1B17-4BEA-8EC7-4F9D449318BB}</author>
  </authors>
  <commentList>
    <comment ref="E2" authorId="0" shapeId="0" xr:uid="{91B3EBA1-1B17-4BEA-8EC7-4F9D449318BB}">
      <text>
        <r>
          <rPr>
            <sz val="11"/>
            <color indexed="8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ADELANTA UNA SEMANA POR EL FERIADO MIERCOLES 08 DE OCTUBRE</t>
        </r>
      </text>
    </comment>
  </commentList>
</comments>
</file>

<file path=xl/sharedStrings.xml><?xml version="1.0" encoding="utf-8"?>
<sst xmlns="http://schemas.openxmlformats.org/spreadsheetml/2006/main" count="243" uniqueCount="64">
  <si>
    <t>Periodo</t>
  </si>
  <si>
    <t>NRC</t>
  </si>
  <si>
    <t>Nombre de alumno</t>
  </si>
  <si>
    <t>201720</t>
  </si>
  <si>
    <t>8103</t>
  </si>
  <si>
    <t>CONSOLIDADO 1</t>
  </si>
  <si>
    <t>PROMEDIO 
CONSOLIDADO 1
20%</t>
  </si>
  <si>
    <t>PROMEDIO
N1 Y N3
50%</t>
  </si>
  <si>
    <t>PARCIAL</t>
  </si>
  <si>
    <t>CONSOLIDADO 2</t>
  </si>
  <si>
    <t>PROMEDIO 
CONSOLIDADO 2
20%</t>
  </si>
  <si>
    <t>PROMEDIO
N1 Y N2
50%</t>
  </si>
  <si>
    <t>FINAL</t>
  </si>
  <si>
    <t>PROMEDIO 
FINAL
40%</t>
  </si>
  <si>
    <t>Student</t>
  </si>
  <si>
    <t>PROMEDIO EN
PORCENTAJE</t>
  </si>
  <si>
    <t>PROMEDIO EN
VIGESIMAL</t>
  </si>
  <si>
    <t>PROMEDIO
EN %</t>
  </si>
  <si>
    <t>PROMEDIO 
PARCIAL
20%</t>
  </si>
  <si>
    <t>PROMEDIO
30%</t>
  </si>
  <si>
    <t>PROMEDIO
70%</t>
  </si>
  <si>
    <r>
      <t xml:space="preserve">N1
CAP 14, 15 Y 16
AULA VIRTUAL
</t>
    </r>
    <r>
      <rPr>
        <sz val="11"/>
        <color rgb="FFFF0000"/>
        <rFont val="Calibri"/>
        <family val="2"/>
        <scheme val="minor"/>
      </rPr>
      <t>SEMANA 4</t>
    </r>
    <r>
      <rPr>
        <sz val="11"/>
        <color theme="1"/>
        <rFont val="Calibri"/>
        <family val="2"/>
        <scheme val="minor"/>
      </rPr>
      <t xml:space="preserve">
70%
</t>
    </r>
    <r>
      <rPr>
        <sz val="11"/>
        <color rgb="FFFF0000"/>
        <rFont val="Calibri"/>
        <family val="2"/>
        <scheme val="minor"/>
      </rPr>
      <t>MIERCOLES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10-09-2025</t>
    </r>
  </si>
  <si>
    <r>
      <t xml:space="preserve">N3
EXAMENES
NETACAD
DEL CAP 1 AL 4 y DEL 14 AL 16
</t>
    </r>
    <r>
      <rPr>
        <sz val="11"/>
        <color rgb="FFFF0000"/>
        <rFont val="Calibri"/>
        <family val="2"/>
        <scheme val="minor"/>
      </rPr>
      <t>SEMANA 6</t>
    </r>
    <r>
      <rPr>
        <sz val="11"/>
        <color theme="1"/>
        <rFont val="Calibri"/>
        <family val="2"/>
        <scheme val="minor"/>
      </rPr>
      <t xml:space="preserve">
30%
</t>
    </r>
    <r>
      <rPr>
        <sz val="11"/>
        <color rgb="FFFF0000"/>
        <rFont val="Calibri"/>
        <family val="2"/>
        <scheme val="minor"/>
      </rPr>
      <t>MIERCOLES
24-09-2025</t>
    </r>
  </si>
  <si>
    <r>
      <t xml:space="preserve">NOTA 2
EXAMEN
PRACTICO
</t>
    </r>
    <r>
      <rPr>
        <sz val="11"/>
        <color rgb="FFFF0000"/>
        <rFont val="Calibri"/>
        <family val="2"/>
        <scheme val="minor"/>
      </rPr>
      <t>SEMANA 5</t>
    </r>
    <r>
      <rPr>
        <sz val="11"/>
        <color theme="1"/>
        <rFont val="Calibri"/>
        <family val="2"/>
        <scheme val="minor"/>
      </rPr>
      <t xml:space="preserve">
50%
</t>
    </r>
    <r>
      <rPr>
        <sz val="11"/>
        <color rgb="FFFF0000"/>
        <rFont val="Calibri"/>
        <family val="2"/>
        <scheme val="minor"/>
      </rPr>
      <t>MIERCOLES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17-09-2025</t>
    </r>
  </si>
  <si>
    <r>
      <t xml:space="preserve">CAP 14 AL 16
SEMANA 3
</t>
    </r>
    <r>
      <rPr>
        <sz val="11"/>
        <color rgb="FFFF0000"/>
        <rFont val="Calibri"/>
        <family val="2"/>
        <scheme val="minor"/>
      </rPr>
      <t>MIERCOLES
03-09-2025</t>
    </r>
  </si>
  <si>
    <r>
      <t xml:space="preserve">CAP 1 AL 4
SEMANA 6
</t>
    </r>
    <r>
      <rPr>
        <sz val="11"/>
        <color rgb="FFFF0000"/>
        <rFont val="Calibri"/>
        <family val="2"/>
        <scheme val="minor"/>
      </rPr>
      <t>MIERCOLES
24-09-2025</t>
    </r>
  </si>
  <si>
    <r>
      <t xml:space="preserve">TEORIA
DEL CAP 1 AL 6  DE NETACAD POR
AULA VIRTUAL
30%
</t>
    </r>
    <r>
      <rPr>
        <sz val="11"/>
        <color rgb="FFFF0000"/>
        <rFont val="Calibri"/>
        <family val="2"/>
        <scheme val="minor"/>
      </rPr>
      <t>SEMANA 8
MARTES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07-10-2025</t>
    </r>
  </si>
  <si>
    <r>
      <t xml:space="preserve">PRACTICO
PACKET TRACER
70%
</t>
    </r>
    <r>
      <rPr>
        <sz val="11"/>
        <color rgb="FFFF0000"/>
        <rFont val="Calibri"/>
        <family val="2"/>
        <scheme val="minor"/>
      </rPr>
      <t>SEMANA 8
MIERCOLES
01-10-2025</t>
    </r>
  </si>
  <si>
    <r>
      <t xml:space="preserve">N1
CAP 7, 8 Y 9
AULA VIRTUAL
</t>
    </r>
    <r>
      <rPr>
        <sz val="11"/>
        <color rgb="FFFF0000"/>
        <rFont val="Calibri"/>
        <family val="2"/>
        <scheme val="minor"/>
      </rPr>
      <t>SEMANA 11</t>
    </r>
    <r>
      <rPr>
        <sz val="11"/>
        <color theme="1"/>
        <rFont val="Calibri"/>
        <family val="2"/>
        <scheme val="minor"/>
      </rPr>
      <t xml:space="preserve">
70%
</t>
    </r>
    <r>
      <rPr>
        <sz val="11"/>
        <color rgb="FFFF0000"/>
        <rFont val="Calibri"/>
        <family val="2"/>
        <scheme val="minor"/>
      </rPr>
      <t>MIERCOLES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29-10-2025</t>
    </r>
  </si>
  <si>
    <r>
      <t xml:space="preserve">N2
EXAMENES
NETACAD
DESDE CAP 5
HASTA FINAL
</t>
    </r>
    <r>
      <rPr>
        <sz val="11"/>
        <color rgb="FFFF0000"/>
        <rFont val="Calibri"/>
        <family val="2"/>
        <scheme val="minor"/>
      </rPr>
      <t>SEMANA 15</t>
    </r>
    <r>
      <rPr>
        <sz val="11"/>
        <color theme="1"/>
        <rFont val="Calibri"/>
        <family val="2"/>
        <scheme val="minor"/>
      </rPr>
      <t xml:space="preserve">
30%
</t>
    </r>
    <r>
      <rPr>
        <sz val="11"/>
        <color rgb="FFFF0000"/>
        <rFont val="Calibri"/>
        <family val="2"/>
        <scheme val="minor"/>
      </rPr>
      <t>MIERCOLES
26-11-2025</t>
    </r>
  </si>
  <si>
    <r>
      <t xml:space="preserve">NOTA 3
EXAMEN
PRACTICO
PACKET TRACER y GNS3
</t>
    </r>
    <r>
      <rPr>
        <sz val="11"/>
        <color rgb="FFFF0000"/>
        <rFont val="Calibri"/>
        <family val="2"/>
        <scheme val="minor"/>
      </rPr>
      <t>SEMANA 13</t>
    </r>
    <r>
      <rPr>
        <sz val="11"/>
        <color theme="1"/>
        <rFont val="Calibri"/>
        <family val="2"/>
        <scheme val="minor"/>
      </rPr>
      <t xml:space="preserve">
50%
</t>
    </r>
    <r>
      <rPr>
        <sz val="11"/>
        <color rgb="FFFF0000"/>
        <rFont val="Calibri"/>
        <family val="2"/>
        <scheme val="minor"/>
      </rPr>
      <t>MIERCOLES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12-11-2025</t>
    </r>
  </si>
  <si>
    <r>
      <t xml:space="preserve">CAP 5 al 6
SEMANA 7
</t>
    </r>
    <r>
      <rPr>
        <sz val="11"/>
        <color rgb="FFFF0000"/>
        <rFont val="Calibri"/>
        <family val="2"/>
        <scheme val="minor"/>
      </rPr>
      <t>MIERCOLES
01-10-2025</t>
    </r>
  </si>
  <si>
    <r>
      <t xml:space="preserve">CAP 7 al 9
SEMANA 9
</t>
    </r>
    <r>
      <rPr>
        <sz val="11"/>
        <color rgb="FFFF0000"/>
        <rFont val="Calibri"/>
        <family val="2"/>
        <scheme val="minor"/>
      </rPr>
      <t>MIERCOLES
15-10-2025</t>
    </r>
  </si>
  <si>
    <r>
      <t xml:space="preserve">CAP 10 AL 13
SEMANA 12
</t>
    </r>
    <r>
      <rPr>
        <sz val="11"/>
        <color rgb="FFFF0000"/>
        <rFont val="Calibri"/>
        <family val="2"/>
        <scheme val="minor"/>
      </rPr>
      <t>MIERCOLES
05-11-2025</t>
    </r>
  </si>
  <si>
    <r>
      <t xml:space="preserve">EXAMEN FINAL DE PRÁCTICA SRWE
(TEORICO)
SEMANA 12
</t>
    </r>
    <r>
      <rPr>
        <sz val="11"/>
        <color rgb="FFFF0000"/>
        <rFont val="Calibri"/>
        <family val="2"/>
        <scheme val="minor"/>
      </rPr>
      <t>MIERCOLES
05-11-2025</t>
    </r>
  </si>
  <si>
    <r>
      <t xml:space="preserve">EXAMEN FINAL DE PRÁCTICA SRWE
(PRACTICO-PT)
SEMANA 14
</t>
    </r>
    <r>
      <rPr>
        <sz val="11"/>
        <color rgb="FFFF0000"/>
        <rFont val="Calibri"/>
        <family val="2"/>
        <scheme val="minor"/>
      </rPr>
      <t>MIERCOLES
19-11-2025</t>
    </r>
  </si>
  <si>
    <r>
      <t xml:space="preserve">EXAMEN FINAL
SEMANA 15
(PRESENCIAL)
</t>
    </r>
    <r>
      <rPr>
        <sz val="11"/>
        <color rgb="FFFF0000"/>
        <rFont val="Calibri"/>
        <family val="2"/>
        <scheme val="minor"/>
      </rPr>
      <t>MARTES
25-11-2025</t>
    </r>
  </si>
  <si>
    <r>
      <t xml:space="preserve">PARTE 1 HABILIDADES
PRACTICAS
SEMANA 15
(PRESENCIAL)
</t>
    </r>
    <r>
      <rPr>
        <sz val="11"/>
        <color rgb="FFFF0000"/>
        <rFont val="Calibri"/>
        <family val="2"/>
        <scheme val="minor"/>
      </rPr>
      <t>MIERCOLES
26-11-2025</t>
    </r>
  </si>
  <si>
    <r>
      <t xml:space="preserve">PARTE 2 HABILIDADES
PRACTICAS
SEMANA 15
(PRESENCIAL)
</t>
    </r>
    <r>
      <rPr>
        <sz val="11"/>
        <color rgb="FFFF0000"/>
        <rFont val="Calibri"/>
        <family val="2"/>
        <scheme val="minor"/>
      </rPr>
      <t>MIERCOLES
26-11-2025</t>
    </r>
  </si>
  <si>
    <r>
      <t xml:space="preserve">TEORIA
LOS 16 CAPÍTULOS DE NETACAD POR
AULA VIRTUAL
30%
</t>
    </r>
    <r>
      <rPr>
        <sz val="11"/>
        <color rgb="FFFF0000"/>
        <rFont val="Calibri"/>
        <family val="2"/>
        <scheme val="minor"/>
      </rPr>
      <t>SEMANA 16
MARTES
02-12-2025</t>
    </r>
  </si>
  <si>
    <r>
      <t xml:space="preserve">PRACTICO
PACKET TRACER y GNS3
70%
</t>
    </r>
    <r>
      <rPr>
        <sz val="11"/>
        <color rgb="FFFF0000"/>
        <rFont val="Calibri"/>
        <family val="2"/>
        <scheme val="minor"/>
      </rPr>
      <t>SEMANA 16
MIERCOLES
03-12-2025</t>
    </r>
  </si>
  <si>
    <t>Atencio Castillo Ana Cristine</t>
  </si>
  <si>
    <t>Carhuapoma Fano Eilene Elizabeth</t>
  </si>
  <si>
    <t>Cortez Ponce Brianna Shaquel</t>
  </si>
  <si>
    <t>Cruz Salazar Jorge Luis</t>
  </si>
  <si>
    <t>Cueva Ricse Alex</t>
  </si>
  <si>
    <t>Damian Espinoza Fran Sthip</t>
  </si>
  <si>
    <t>De La Torre Segura Jhonny Andre</t>
  </si>
  <si>
    <t>Galvez Siuce Alex Edson</t>
  </si>
  <si>
    <t>Hilario Talavera Alexander Daniel</t>
  </si>
  <si>
    <t>Hoyos Lopez Julio</t>
  </si>
  <si>
    <t>Huaman Baldeon Katheryn Elena</t>
  </si>
  <si>
    <t>Lopez Canete Sebastian Mariano</t>
  </si>
  <si>
    <t>Narvaez Ojeda Carlos Andres</t>
  </si>
  <si>
    <t>Ore Campos Josef Pablo</t>
  </si>
  <si>
    <t>Perez Ordonez Anthony Alexis</t>
  </si>
  <si>
    <t>Rojas Pena William Mikeiel</t>
  </si>
  <si>
    <t>Sosa Porras Jhoan Jose</t>
  </si>
  <si>
    <t>Tovar Sanchez Carlos Alberto</t>
  </si>
  <si>
    <t>Urbano Cortez Robel Gabriel</t>
  </si>
  <si>
    <t>Yaranga Ruiz Kenyi Mauri</t>
  </si>
  <si>
    <t>Yupanqui Acevedo Frank Roy</t>
  </si>
  <si>
    <t>Zorrilla Apumayta Alex Jesus</t>
  </si>
  <si>
    <t>Albornoz PeñA Jeferson Bener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</si>
</sst>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1" xfId="0" applyBorder="1" applyProtection="1">
      <protection locked="0"/>
    </xf>
    <xf numFmtId="0" fontId="0" fillId="3" borderId="1" xfId="0" applyFill="1" applyBorder="1"/>
    <xf numFmtId="0" fontId="0" fillId="4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4" fillId="3" borderId="3" xfId="0" applyFont="1" applyFill="1" applyBorder="1" applyAlignment="1">
      <alignment horizontal="center" vertical="center" wrapText="1"/>
    </xf>
    <xf numFmtId="0" fontId="0" fillId="0" borderId="4" xfId="0" applyBorder="1" applyProtection="1">
      <protection locked="0"/>
    </xf>
    <xf numFmtId="0" fontId="0" fillId="2" borderId="4" xfId="0" applyFill="1" applyBorder="1"/>
    <xf numFmtId="0" fontId="0" fillId="3" borderId="1" xfId="0" applyFill="1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/>
    <xf numFmtId="0" fontId="0" fillId="3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2" fillId="3" borderId="3" xfId="0" applyFont="1" applyFill="1" applyBorder="1" applyAlignment="1">
      <alignment horizontal="center" vertical="center" wrapText="1"/>
    </xf>
    <xf numFmtId="0" fontId="0" fillId="8" borderId="1" xfId="0" applyFill="1" applyBorder="1" applyProtection="1">
      <protection locked="0"/>
    </xf>
    <xf numFmtId="0" fontId="0" fillId="8" borderId="1" xfId="0" applyFill="1" applyBorder="1"/>
    <xf numFmtId="0" fontId="9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26">
    <dxf>
      <font>
        <color theme="4" tint="-0.24994659260841701"/>
      </font>
    </dxf>
    <dxf>
      <font>
        <color rgb="FF9C0006"/>
      </font>
    </dxf>
    <dxf>
      <font>
        <color theme="8"/>
      </font>
    </dxf>
    <dxf>
      <font>
        <color rgb="FF9C0006"/>
      </font>
    </dxf>
    <dxf>
      <font>
        <color theme="4" tint="-0.24994659260841701"/>
      </font>
    </dxf>
    <dxf>
      <font>
        <color theme="8"/>
      </font>
    </dxf>
    <dxf>
      <font>
        <color rgb="FF9C0006"/>
      </font>
    </dxf>
    <dxf>
      <font>
        <color rgb="FF9C0006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color theme="4" tint="-0.24994659260841701"/>
      </font>
    </dxf>
    <dxf>
      <font>
        <color theme="8"/>
      </font>
    </dxf>
    <dxf>
      <font>
        <color rgb="FF9C0006"/>
      </font>
    </dxf>
    <dxf>
      <font>
        <color rgb="FF9C0006"/>
      </font>
    </dxf>
    <dxf>
      <font>
        <color theme="4" tint="-0.24994659260841701"/>
      </font>
    </dxf>
    <dxf>
      <font>
        <color theme="8"/>
      </font>
    </dxf>
    <dxf>
      <font>
        <color rgb="FF9C0006"/>
      </font>
    </dxf>
    <dxf>
      <font>
        <color rgb="FF9C0006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color theme="4" tint="-0.24994659260841701"/>
      </font>
    </dxf>
    <dxf>
      <font>
        <color theme="8"/>
      </font>
    </dxf>
    <dxf>
      <font>
        <color rgb="FF9C0006"/>
      </font>
    </dxf>
    <dxf>
      <font>
        <color rgb="FF9C0006"/>
      </font>
    </dxf>
    <dxf>
      <font>
        <color theme="4" tint="-0.24994659260841701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ndori Torres, Giancarlo" id="{8D49DF97-B45B-4D45-A376-3B412B4CF479}" userId="S::gcondori@continental.edu.pe::ebea2f10-21ef-4094-a160-353c03851aae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5-10-06T02:30:06.43" personId="{8D49DF97-B45B-4D45-A376-3B412B4CF479}" id="{02FED681-3CB5-49A9-9C58-9C9E74381441}">
    <text>+2 DEL 03-09-2025</text>
  </threadedComment>
  <threadedComment ref="E3" dT="2025-10-06T02:14:08.58" personId="{8D49DF97-B45B-4D45-A376-3B412B4CF479}" id="{1BB01224-5F1C-41C8-9D4C-6172C9494EF3}">
    <text>+1 DEL 20-08-2025
+2 DEL 27-08-2025</text>
  </threadedComment>
  <threadedComment ref="D5" dT="2025-10-06T02:23:55.54" personId="{8D49DF97-B45B-4D45-A376-3B412B4CF479}" id="{A5DBF10D-5ECF-48D6-AC36-C521F7C3185C}">
    <text>+2 DEL 27-08-2025
+1 DEL 03-09-2025</text>
  </threadedComment>
  <threadedComment ref="E5" dT="2025-10-06T02:18:17.06" personId="{8D49DF97-B45B-4D45-A376-3B412B4CF479}" id="{D03D3AF3-1A3E-48AC-952B-838EF98256EF}">
    <text>+1 DEL 20-08-2025</text>
  </threadedComment>
  <threadedComment ref="E6" dT="2025-10-06T02:09:58.92" personId="{8D49DF97-B45B-4D45-A376-3B412B4CF479}" id="{2C627FA9-4658-4D90-A8CB-296FA0D2070E}">
    <text>+2 DEL 20-08-2025
+2 DEL 27-08-2025
+1 DEL 03-09-2025
+1 DEL 10-09-2025</text>
  </threadedComment>
  <threadedComment ref="D7" dT="2025-10-06T02:30:46.15" personId="{8D49DF97-B45B-4D45-A376-3B412B4CF479}" id="{70697699-D96A-4BF5-AE0E-8C9960EC9E51}">
    <text>+1 DEL 03-09-2025</text>
  </threadedComment>
  <threadedComment ref="E7" dT="2025-10-06T02:16:25.68" personId="{8D49DF97-B45B-4D45-A376-3B412B4CF479}" id="{D6C6410B-8F9C-41A1-843B-B1CEB06C0084}">
    <text>+1 DEL 20-08-2025
+2 DEL 27-08-2025</text>
  </threadedComment>
  <threadedComment ref="D8" dT="2025-10-06T02:12:30.86" personId="{8D49DF97-B45B-4D45-A376-3B412B4CF479}" id="{84326B39-1A1E-4DA7-84A8-667370DD2C80}">
    <text>+1 DEL 20-08-2025
+2 DEL 27-08-2025
+1 DEL 03-09-2025</text>
  </threadedComment>
  <threadedComment ref="E8" dT="2025-10-06T02:12:21.02" personId="{8D49DF97-B45B-4D45-A376-3B412B4CF479}" id="{28358ECF-58C2-4AEF-AD01-9FC73B741C0F}">
    <text>+1 DEL 20-08-2025</text>
  </threadedComment>
  <threadedComment ref="D9" dT="2025-10-06T02:16:41.34" personId="{8D49DF97-B45B-4D45-A376-3B412B4CF479}" id="{3F7E8E30-DAEB-4CCC-AF3D-AAD0F6C4A1DC}">
    <text>+1 DEL 20-08-2025
+2 DEL 27-08-2025
+2 DEL 03-09-2025</text>
  </threadedComment>
  <threadedComment ref="D10" dT="2025-10-06T02:27:35.21" personId="{8D49DF97-B45B-4D45-A376-3B412B4CF479}" id="{4D6A27CF-E1F5-4C6B-829F-1A9F1A311063}">
    <text>+2 DEL 03-09-2025</text>
  </threadedComment>
  <threadedComment ref="E10" dT="2025-10-06T02:13:37.37" personId="{8D49DF97-B45B-4D45-A376-3B412B4CF479}" id="{BF2FEFB5-EEF2-490D-9F14-A27EE99B7E48}">
    <text>+1 DEL 20-08-2025</text>
  </threadedComment>
  <threadedComment ref="E11" dT="2025-10-06T02:17:44.99" personId="{8D49DF97-B45B-4D45-A376-3B412B4CF479}" id="{6B059825-04BA-40F6-B53B-6705C338B494}">
    <text>+1 DEL 20-08-2025
+2 DEL 27-08-2025
+1 DEL 03-09-2025</text>
  </threadedComment>
  <threadedComment ref="E12" dT="2025-10-06T02:14:41.69" personId="{8D49DF97-B45B-4D45-A376-3B412B4CF479}" id="{51EF9B6D-4BD2-4911-BEBF-A51172BFA8E0}">
    <text>+1 DEL 20-08-2025
+2 DEL 27-08-2025
+2 DEL 03-09-2025</text>
  </threadedComment>
  <threadedComment ref="D13" dT="2025-10-06T02:20:56.12" personId="{8D49DF97-B45B-4D45-A376-3B412B4CF479}" id="{7A41135F-9EF8-424C-850F-118C03A78A59}">
    <text>+2 DEL 27-08-2025
+1 DEL 03-09-2025</text>
  </threadedComment>
  <threadedComment ref="E13" dT="2025-10-06T02:11:19.93" personId="{8D49DF97-B45B-4D45-A376-3B412B4CF479}" id="{7038220B-20C2-4FFD-A438-C833963A7BAE}">
    <text>+2 DEL 20-08-2025</text>
  </threadedComment>
  <threadedComment ref="D14" dT="2025-10-06T02:09:26.00" personId="{8D49DF97-B45B-4D45-A376-3B412B4CF479}" id="{BC641B46-C94D-4539-A6C7-EF49915F23FB}">
    <text>+2 DEL 20-08-2025
+2 DEL 27-08-2025
+1 DEL 03-09-2025
+1 DEL 10-09-2025</text>
  </threadedComment>
  <threadedComment ref="D15" dT="2025-10-06T02:23:38.63" personId="{8D49DF97-B45B-4D45-A376-3B412B4CF479}" id="{EDBD60AF-A107-4537-8CDE-C9D189A03BA8}">
    <text>+2 DEL 27-08-2025
+1 DEL 03-09-2025</text>
  </threadedComment>
  <threadedComment ref="E15" dT="2025-10-06T02:17:25.43" personId="{8D49DF97-B45B-4D45-A376-3B412B4CF479}" id="{50B47D35-99B6-47A6-9DE4-0D02312CC965}">
    <text>+1 DEL 20-08-2025</text>
  </threadedComment>
  <threadedComment ref="D16" dT="2025-10-06T02:25:37.94" personId="{8D49DF97-B45B-4D45-A376-3B412B4CF479}" id="{6A4447F7-F0EE-4F2D-B1E1-8CDD4A19FC11}">
    <text>+2 DEL 27-08-2025
+1 DEL 03-09-2025</text>
  </threadedComment>
  <threadedComment ref="E16" dT="2025-10-06T02:15:14.53" personId="{8D49DF97-B45B-4D45-A376-3B412B4CF479}" id="{2B1BAC55-E711-44F3-9BEF-B31995DE587E}">
    <text>+1 DEL 20-08-2025</text>
  </threadedComment>
  <threadedComment ref="D17" dT="2025-10-06T02:24:26.40" personId="{8D49DF97-B45B-4D45-A376-3B412B4CF479}" id="{E78086DE-D926-4A6F-9FBC-6207273EB2C7}">
    <text>+2 DEL 27-08-2025
+1 DEL 03-09-2025</text>
  </threadedComment>
  <threadedComment ref="E17" dT="2025-10-06T02:15:33.43" personId="{8D49DF97-B45B-4D45-A376-3B412B4CF479}" id="{E6EBAB23-143E-47F0-A6D8-48B1E3C7D437}">
    <text>+1 DEL 20-08-2025</text>
  </threadedComment>
  <threadedComment ref="D18" dT="2025-10-06T02:11:03.62" personId="{8D49DF97-B45B-4D45-A376-3B412B4CF479}" id="{E46E2EE0-F698-41F1-838A-1C83A4A95DD4}">
    <text>+2 DEL 20-08-2025
+2 DEL 27-08-2025
+2 DEL 03-09-2025</text>
  </threadedComment>
  <threadedComment ref="D19" dT="2025-10-06T02:29:36.01" personId="{8D49DF97-B45B-4D45-A376-3B412B4CF479}" id="{3943809E-5299-465A-A9A9-96E4E50D95D1}">
    <text>+2 DEL 03-09-2025</text>
  </threadedComment>
  <threadedComment ref="E19" dT="2025-10-06T02:18:37.69" personId="{8D49DF97-B45B-4D45-A376-3B412B4CF479}" id="{D18ACEE8-C548-4A8C-B950-B3BB9C9C1A04}">
    <text>+1 DEL 20-08-2025
+2 DEL 27-08-2025</text>
  </threadedComment>
  <threadedComment ref="D20" dT="2025-10-06T02:24:58.66" personId="{8D49DF97-B45B-4D45-A376-3B412B4CF479}" id="{97F1F6E2-6D06-4977-AE8C-84106C3D8F17}">
    <text>+1 DEL 27-08-2025
+1 DEL 03-09-2025</text>
  </threadedComment>
  <threadedComment ref="E20" dT="2025-10-06T02:16:57.22" personId="{8D49DF97-B45B-4D45-A376-3B412B4CF479}" id="{FFF6E5F9-D813-4B54-8C02-E4D53CCDD825}">
    <text>+1 DEL 20-08-2025
+1 DEL 27-08-2025</text>
  </threadedComment>
  <threadedComment ref="E21" dT="2025-10-06T02:13:51.94" personId="{8D49DF97-B45B-4D45-A376-3B412B4CF479}" id="{DCBD069B-9C53-4275-A920-1F19B3CCDFDB}">
    <text>+1 DEL 20-08-2025
+2 DEL 27-08-2025
+2 DEL 03-09-2025</text>
  </threadedComment>
  <threadedComment ref="D22" dT="2025-10-06T02:26:11.17" personId="{8D49DF97-B45B-4D45-A376-3B412B4CF479}" id="{7FFBE497-08CA-4104-8292-4B629E685318}">
    <text>+2 DEL 27-08-2025
+2 DEL 03-09-2025</text>
  </threadedComment>
  <threadedComment ref="E22" dT="2025-10-06T02:15:48.22" personId="{8D49DF97-B45B-4D45-A376-3B412B4CF479}" id="{30C3D6FA-272C-4A76-AD3A-0B3FFD119D41}">
    <text>+1 DEL 20-08-2025</text>
  </threadedComment>
  <threadedComment ref="D23" dT="2025-10-06T02:10:16.84" personId="{8D49DF97-B45B-4D45-A376-3B412B4CF479}" id="{3A97B7C7-42ED-4244-B7BF-1EB97615D79B}">
    <text>+2 DEL 20-08-2025
+2 DEL 27-08-2025
+2 DEL 03-09-2025</text>
  </threadedComment>
  <threadedComment ref="D24" dT="2025-10-06T02:22:48.32" personId="{8D49DF97-B45B-4D45-A376-3B412B4CF479}" id="{DB2C47F5-093F-4735-8912-D56A3A9B4838}">
    <text>+1 DEL 27-08-2025
+1 DEL 03-09-2025
+1 DEL 10-09-2025</text>
  </threadedComment>
  <threadedComment ref="E24" dT="2025-10-06T02:12:50.21" personId="{8D49DF97-B45B-4D45-A376-3B412B4CF479}" id="{782A3C28-63F8-45F6-8A32-A4AD2F64EAF6}">
    <text>+2 DEL 20-08-2025
+1 DEL 27-08-2025</text>
  </threadedComment>
  <threadedComment ref="E25" dT="2025-10-06T02:14:25.56" personId="{8D49DF97-B45B-4D45-A376-3B412B4CF479}" id="{FF2BE64F-7AA0-498E-960C-C391882824E6}">
    <text>+1 DEL 20-08-2025
+2 DEL 27-08-2025
+2 DEL 03-09-2025</text>
  </threadedComment>
  <threadedComment ref="D26" dT="2025-10-06T02:10:33.00" personId="{8D49DF97-B45B-4D45-A376-3B412B4CF479}" id="{099F359E-BF3F-453C-8677-610DAFC6F7ED}">
    <text>+2 DEL 20-08-2025
+2 DEL 27-08-2025
+2 DEL 03-09-2025</text>
  </threadedComment>
  <threadedComment ref="D27" dT="2025-10-06T02:18:01.56" personId="{8D49DF97-B45B-4D45-A376-3B412B4CF479}" id="{C4A34E59-C59D-4920-B694-AD9A8F951073}">
    <text>+1 DEL 20-08-2025
+2 DEL 27-08-2025
+1 DEL 03-09-2025</text>
  </threadedComment>
  <threadedComment ref="D28" dT="2025-10-06T02:14:56.80" personId="{8D49DF97-B45B-4D45-A376-3B412B4CF479}" id="{7697C8A4-B5B3-4E6E-95D7-9EE934703183}">
    <text>+1 DEL 20-08-2025
+2 DEL 27-08-2025
+1 DEL 03-09-2025</text>
  </threadedComment>
  <threadedComment ref="D29" dT="2025-10-06T02:11:51.35" personId="{8D49DF97-B45B-4D45-A376-3B412B4CF479}" id="{1011C236-2FAB-405D-A2F5-FF36C0EFD710}">
    <text>+1 DEL 20-08-2025
+2 DEL 27-08-2025
+1 DEL 03-09-2025</text>
  </threadedComment>
  <threadedComment ref="E29" dT="2025-10-06T02:11:42.37" personId="{8D49DF97-B45B-4D45-A376-3B412B4CF479}" id="{8616CF7A-0CE2-4D86-9D82-E3DF0B3783E1}">
    <text>+1 DEL 20-08-2025</text>
  </threadedComment>
  <threadedComment ref="D30" dT="2025-10-06T02:10:47.70" personId="{8D49DF97-B45B-4D45-A376-3B412B4CF479}" id="{12B9E006-1B5C-480F-9D2B-BA766698A970}">
    <text>+2 DEL 20-08-2025
+2 DEL 27-08-2025
+1 DEL 03-09-2025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2" dT="2025-08-16T20:17:04.42" personId="{8D49DF97-B45B-4D45-A376-3B412B4CF479}" id="{91B3EBA1-1B17-4BEA-8EC7-4F9D449318BB}">
    <text>SE ADELANTA UNA SEMANA POR EL FERIADO MIERCOLES 08 DE OCTUBRE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35"/>
  <sheetViews>
    <sheetView showGridLines="0" topLeftCell="C1" zoomScaleNormal="100" workbookViewId="0">
      <selection activeCell="C21" sqref="A21:XFD21"/>
    </sheetView>
  </sheetViews>
  <sheetFormatPr baseColWidth="10" defaultColWidth="26.28515625" defaultRowHeight="15" x14ac:dyDescent="0.25"/>
  <cols>
    <col min="1" max="2" width="0" hidden="1" customWidth="1"/>
    <col min="3" max="3" width="44.140625" bestFit="1" customWidth="1"/>
    <col min="4" max="4" width="14.7109375" customWidth="1"/>
    <col min="5" max="5" width="16.140625" customWidth="1"/>
    <col min="6" max="7" width="12.140625" customWidth="1"/>
    <col min="8" max="8" width="16" customWidth="1"/>
    <col min="9" max="9" width="6.140625" customWidth="1"/>
  </cols>
  <sheetData>
    <row r="1" spans="1:8" x14ac:dyDescent="0.25">
      <c r="C1" s="2"/>
      <c r="D1" s="28" t="s">
        <v>5</v>
      </c>
      <c r="E1" s="28"/>
      <c r="F1" s="28"/>
      <c r="G1" s="28"/>
      <c r="H1" s="26" t="s">
        <v>6</v>
      </c>
    </row>
    <row r="2" spans="1:8" ht="135" x14ac:dyDescent="0.25">
      <c r="A2" t="s">
        <v>0</v>
      </c>
      <c r="B2" t="s">
        <v>1</v>
      </c>
      <c r="C2" s="5" t="s">
        <v>2</v>
      </c>
      <c r="D2" s="23" t="s">
        <v>21</v>
      </c>
      <c r="E2" s="23" t="s">
        <v>22</v>
      </c>
      <c r="F2" s="12" t="s">
        <v>7</v>
      </c>
      <c r="G2" s="23" t="s">
        <v>23</v>
      </c>
      <c r="H2" s="27"/>
    </row>
    <row r="3" spans="1:8" x14ac:dyDescent="0.25">
      <c r="A3" s="1" t="s">
        <v>3</v>
      </c>
      <c r="B3" s="1" t="s">
        <v>4</v>
      </c>
      <c r="C3" s="2" t="s">
        <v>63</v>
      </c>
      <c r="D3" s="24">
        <v>14</v>
      </c>
      <c r="E3" s="24">
        <v>20</v>
      </c>
      <c r="F3" s="6">
        <f t="shared" ref="F3:F10" si="0">ROUND(D3*0.7+E3*0.3,0)</f>
        <v>16</v>
      </c>
      <c r="G3" s="4">
        <v>10</v>
      </c>
      <c r="H3" s="3">
        <f t="shared" ref="H3:H10" si="1">IFERROR(AVERAGE(F3:G3),"")</f>
        <v>13</v>
      </c>
    </row>
    <row r="4" spans="1:8" x14ac:dyDescent="0.25">
      <c r="C4" s="2" t="s">
        <v>41</v>
      </c>
      <c r="D4" s="4">
        <v>0</v>
      </c>
      <c r="E4" s="4">
        <v>20</v>
      </c>
      <c r="F4" s="6">
        <f t="shared" si="0"/>
        <v>6</v>
      </c>
      <c r="G4" s="4">
        <v>0</v>
      </c>
      <c r="H4" s="3">
        <f t="shared" si="1"/>
        <v>3</v>
      </c>
    </row>
    <row r="5" spans="1:8" x14ac:dyDescent="0.25">
      <c r="C5" s="2" t="s">
        <v>42</v>
      </c>
      <c r="D5" s="24">
        <v>15</v>
      </c>
      <c r="E5" s="24">
        <v>20</v>
      </c>
      <c r="F5" s="6">
        <f t="shared" si="0"/>
        <v>17</v>
      </c>
      <c r="G5" s="4">
        <v>0</v>
      </c>
      <c r="H5" s="3">
        <f t="shared" si="1"/>
        <v>8.5</v>
      </c>
    </row>
    <row r="6" spans="1:8" x14ac:dyDescent="0.25">
      <c r="C6" s="2" t="s">
        <v>43</v>
      </c>
      <c r="D6" s="24">
        <v>3</v>
      </c>
      <c r="E6" s="24">
        <v>20</v>
      </c>
      <c r="F6" s="6">
        <f t="shared" si="0"/>
        <v>8</v>
      </c>
      <c r="G6" s="2">
        <v>2</v>
      </c>
      <c r="H6" s="3">
        <f t="shared" si="1"/>
        <v>5</v>
      </c>
    </row>
    <row r="7" spans="1:8" x14ac:dyDescent="0.25">
      <c r="C7" s="2" t="s">
        <v>44</v>
      </c>
      <c r="D7" s="24">
        <v>18</v>
      </c>
      <c r="E7" s="24">
        <v>20</v>
      </c>
      <c r="F7" s="6">
        <f t="shared" si="0"/>
        <v>19</v>
      </c>
      <c r="G7" s="2">
        <v>6</v>
      </c>
      <c r="H7" s="3">
        <f t="shared" si="1"/>
        <v>12.5</v>
      </c>
    </row>
    <row r="8" spans="1:8" x14ac:dyDescent="0.25">
      <c r="C8" s="2" t="s">
        <v>45</v>
      </c>
      <c r="D8" s="24">
        <v>19</v>
      </c>
      <c r="E8" s="4">
        <v>20</v>
      </c>
      <c r="F8" s="6">
        <f t="shared" si="0"/>
        <v>19</v>
      </c>
      <c r="G8" s="2">
        <v>19</v>
      </c>
      <c r="H8" s="3">
        <f t="shared" si="1"/>
        <v>19</v>
      </c>
    </row>
    <row r="9" spans="1:8" x14ac:dyDescent="0.25">
      <c r="C9" s="2" t="s">
        <v>46</v>
      </c>
      <c r="D9" s="24">
        <v>10</v>
      </c>
      <c r="E9" s="24">
        <v>20</v>
      </c>
      <c r="F9" s="6">
        <f t="shared" si="0"/>
        <v>13</v>
      </c>
      <c r="G9" s="2">
        <v>13</v>
      </c>
      <c r="H9" s="3">
        <f t="shared" si="1"/>
        <v>13</v>
      </c>
    </row>
    <row r="10" spans="1:8" x14ac:dyDescent="0.25">
      <c r="C10" s="2" t="s">
        <v>47</v>
      </c>
      <c r="D10" s="4">
        <v>4</v>
      </c>
      <c r="E10" s="24">
        <v>14</v>
      </c>
      <c r="F10" s="6">
        <f t="shared" si="0"/>
        <v>7</v>
      </c>
      <c r="G10" s="2">
        <v>7</v>
      </c>
      <c r="H10" s="3">
        <f t="shared" si="1"/>
        <v>7</v>
      </c>
    </row>
    <row r="11" spans="1:8" x14ac:dyDescent="0.25">
      <c r="C11" s="2" t="s">
        <v>48</v>
      </c>
      <c r="D11" s="4">
        <v>12</v>
      </c>
      <c r="E11" s="24">
        <v>5</v>
      </c>
      <c r="F11" s="6">
        <f t="shared" ref="F11:F15" si="2">ROUND(D11*0.7+E11*0.3,0)</f>
        <v>10</v>
      </c>
      <c r="G11" s="2">
        <v>1</v>
      </c>
      <c r="H11" s="3">
        <f t="shared" ref="H11:H15" si="3">IFERROR(AVERAGE(F11:G11),"")</f>
        <v>5.5</v>
      </c>
    </row>
    <row r="12" spans="1:8" x14ac:dyDescent="0.25">
      <c r="C12" s="2" t="s">
        <v>49</v>
      </c>
      <c r="D12" s="24">
        <v>15</v>
      </c>
      <c r="E12" s="24">
        <v>20</v>
      </c>
      <c r="F12" s="6">
        <f t="shared" si="2"/>
        <v>17</v>
      </c>
      <c r="G12" s="2">
        <v>7</v>
      </c>
      <c r="H12" s="3">
        <f t="shared" si="3"/>
        <v>12</v>
      </c>
    </row>
    <row r="13" spans="1:8" x14ac:dyDescent="0.25">
      <c r="C13" s="2" t="s">
        <v>50</v>
      </c>
      <c r="D13" s="24">
        <v>8</v>
      </c>
      <c r="E13" s="4">
        <v>20</v>
      </c>
      <c r="F13" s="6">
        <f t="shared" si="2"/>
        <v>12</v>
      </c>
      <c r="G13" s="2">
        <v>14</v>
      </c>
      <c r="H13" s="3">
        <f t="shared" si="3"/>
        <v>13</v>
      </c>
    </row>
    <row r="14" spans="1:8" x14ac:dyDescent="0.25">
      <c r="C14" s="2" t="s">
        <v>51</v>
      </c>
      <c r="D14" s="24">
        <v>15</v>
      </c>
      <c r="E14" s="24">
        <v>20</v>
      </c>
      <c r="F14" s="6">
        <f t="shared" si="2"/>
        <v>17</v>
      </c>
      <c r="G14" s="2">
        <v>7</v>
      </c>
      <c r="H14" s="3">
        <f t="shared" si="3"/>
        <v>12</v>
      </c>
    </row>
    <row r="15" spans="1:8" x14ac:dyDescent="0.25">
      <c r="C15" s="2" t="s">
        <v>52</v>
      </c>
      <c r="D15" s="24">
        <v>9</v>
      </c>
      <c r="E15" s="24">
        <v>20</v>
      </c>
      <c r="F15" s="6">
        <f t="shared" si="2"/>
        <v>12</v>
      </c>
      <c r="G15" s="2">
        <v>5</v>
      </c>
      <c r="H15" s="3">
        <f t="shared" si="3"/>
        <v>8.5</v>
      </c>
    </row>
    <row r="16" spans="1:8" x14ac:dyDescent="0.25">
      <c r="C16" s="2" t="s">
        <v>53</v>
      </c>
      <c r="D16" s="24">
        <v>11</v>
      </c>
      <c r="E16" s="24">
        <v>20</v>
      </c>
      <c r="F16" s="6">
        <f t="shared" ref="F16:F35" si="4">ROUND(D16*0.7+E16*0.3,0)</f>
        <v>14</v>
      </c>
      <c r="G16" s="2">
        <v>10</v>
      </c>
      <c r="H16" s="3">
        <f t="shared" ref="H16:H35" si="5">IFERROR(AVERAGE(F16:G16),"")</f>
        <v>12</v>
      </c>
    </row>
    <row r="17" spans="3:8" x14ac:dyDescent="0.25">
      <c r="C17" s="2" t="s">
        <v>54</v>
      </c>
      <c r="D17" s="24">
        <v>19</v>
      </c>
      <c r="E17" s="4">
        <v>20</v>
      </c>
      <c r="F17" s="6">
        <f t="shared" si="4"/>
        <v>19</v>
      </c>
      <c r="G17" s="2">
        <v>18</v>
      </c>
      <c r="H17" s="3">
        <f t="shared" si="5"/>
        <v>18.5</v>
      </c>
    </row>
    <row r="18" spans="3:8" x14ac:dyDescent="0.25">
      <c r="C18" s="2" t="s">
        <v>55</v>
      </c>
      <c r="D18" s="24">
        <v>12</v>
      </c>
      <c r="E18" s="24">
        <v>20</v>
      </c>
      <c r="F18" s="6">
        <f t="shared" si="4"/>
        <v>14</v>
      </c>
      <c r="G18" s="2">
        <v>12</v>
      </c>
      <c r="H18" s="3">
        <f t="shared" si="5"/>
        <v>13</v>
      </c>
    </row>
    <row r="19" spans="3:8" x14ac:dyDescent="0.25">
      <c r="C19" s="2" t="s">
        <v>56</v>
      </c>
      <c r="D19" s="24">
        <v>10</v>
      </c>
      <c r="E19" s="4">
        <v>20</v>
      </c>
      <c r="F19" s="6">
        <f t="shared" si="4"/>
        <v>13</v>
      </c>
      <c r="G19" s="2">
        <v>18</v>
      </c>
      <c r="H19" s="3">
        <f t="shared" si="5"/>
        <v>15.5</v>
      </c>
    </row>
    <row r="20" spans="3:8" x14ac:dyDescent="0.25">
      <c r="C20" s="2" t="s">
        <v>57</v>
      </c>
      <c r="D20" s="25">
        <v>11</v>
      </c>
      <c r="E20" s="25">
        <v>20</v>
      </c>
      <c r="F20" s="6">
        <f t="shared" si="4"/>
        <v>14</v>
      </c>
      <c r="G20" s="2">
        <v>12</v>
      </c>
      <c r="H20" s="3">
        <f t="shared" si="5"/>
        <v>13</v>
      </c>
    </row>
    <row r="21" spans="3:8" x14ac:dyDescent="0.25">
      <c r="C21" s="2" t="s">
        <v>58</v>
      </c>
      <c r="D21" s="25">
        <v>16</v>
      </c>
      <c r="E21" s="2">
        <v>20</v>
      </c>
      <c r="F21" s="6">
        <f t="shared" si="4"/>
        <v>17</v>
      </c>
      <c r="G21" s="2">
        <v>14</v>
      </c>
      <c r="H21" s="3">
        <f t="shared" si="5"/>
        <v>15.5</v>
      </c>
    </row>
    <row r="22" spans="3:8" x14ac:dyDescent="0.25">
      <c r="C22" s="2" t="s">
        <v>59</v>
      </c>
      <c r="D22" s="25">
        <v>14</v>
      </c>
      <c r="E22" s="2">
        <v>20</v>
      </c>
      <c r="F22" s="6">
        <f t="shared" si="4"/>
        <v>16</v>
      </c>
      <c r="G22" s="2">
        <v>10</v>
      </c>
      <c r="H22" s="3">
        <f t="shared" si="5"/>
        <v>13</v>
      </c>
    </row>
    <row r="23" spans="3:8" x14ac:dyDescent="0.25">
      <c r="C23" s="2" t="s">
        <v>60</v>
      </c>
      <c r="D23" s="25">
        <v>12</v>
      </c>
      <c r="E23" s="2">
        <v>20</v>
      </c>
      <c r="F23" s="6">
        <f t="shared" si="4"/>
        <v>14</v>
      </c>
      <c r="G23" s="2">
        <v>10</v>
      </c>
      <c r="H23" s="3">
        <f t="shared" si="5"/>
        <v>12</v>
      </c>
    </row>
    <row r="24" spans="3:8" x14ac:dyDescent="0.25">
      <c r="C24" s="2" t="s">
        <v>61</v>
      </c>
      <c r="D24" s="25">
        <v>7</v>
      </c>
      <c r="E24" s="25">
        <v>20</v>
      </c>
      <c r="F24" s="6">
        <f t="shared" si="4"/>
        <v>11</v>
      </c>
      <c r="G24" s="2">
        <v>2</v>
      </c>
      <c r="H24" s="3">
        <f t="shared" si="5"/>
        <v>6.5</v>
      </c>
    </row>
    <row r="25" spans="3:8" x14ac:dyDescent="0.25">
      <c r="C25" s="2" t="s">
        <v>62</v>
      </c>
      <c r="D25" s="25">
        <v>10</v>
      </c>
      <c r="E25" s="2">
        <v>20</v>
      </c>
      <c r="F25" s="6">
        <f t="shared" si="4"/>
        <v>13</v>
      </c>
      <c r="G25" s="2">
        <v>7</v>
      </c>
      <c r="H25" s="3">
        <f t="shared" si="5"/>
        <v>10</v>
      </c>
    </row>
    <row r="26" spans="3:8" x14ac:dyDescent="0.25">
      <c r="C26" s="2"/>
      <c r="D26" s="2"/>
      <c r="E26" s="2"/>
      <c r="F26" s="6">
        <f t="shared" si="4"/>
        <v>0</v>
      </c>
      <c r="G26" s="2"/>
      <c r="H26" s="3">
        <f t="shared" si="5"/>
        <v>0</v>
      </c>
    </row>
    <row r="27" spans="3:8" x14ac:dyDescent="0.25">
      <c r="C27" s="2"/>
      <c r="D27" s="2"/>
      <c r="E27" s="2"/>
      <c r="F27" s="6">
        <f t="shared" si="4"/>
        <v>0</v>
      </c>
      <c r="G27" s="2"/>
      <c r="H27" s="3">
        <f t="shared" si="5"/>
        <v>0</v>
      </c>
    </row>
    <row r="28" spans="3:8" x14ac:dyDescent="0.25">
      <c r="C28" s="2"/>
      <c r="D28" s="2"/>
      <c r="E28" s="2"/>
      <c r="F28" s="6">
        <f t="shared" si="4"/>
        <v>0</v>
      </c>
      <c r="G28" s="2"/>
      <c r="H28" s="3">
        <f t="shared" si="5"/>
        <v>0</v>
      </c>
    </row>
    <row r="29" spans="3:8" x14ac:dyDescent="0.25">
      <c r="C29" s="2"/>
      <c r="D29" s="2"/>
      <c r="E29" s="2"/>
      <c r="F29" s="6">
        <f t="shared" si="4"/>
        <v>0</v>
      </c>
      <c r="G29" s="2"/>
      <c r="H29" s="3">
        <f t="shared" si="5"/>
        <v>0</v>
      </c>
    </row>
    <row r="30" spans="3:8" x14ac:dyDescent="0.25">
      <c r="C30" s="2"/>
      <c r="D30" s="2"/>
      <c r="E30" s="2"/>
      <c r="F30" s="6">
        <f t="shared" si="4"/>
        <v>0</v>
      </c>
      <c r="G30" s="2"/>
      <c r="H30" s="3">
        <f t="shared" si="5"/>
        <v>0</v>
      </c>
    </row>
    <row r="31" spans="3:8" x14ac:dyDescent="0.25">
      <c r="C31" s="2"/>
      <c r="D31" s="2"/>
      <c r="E31" s="2"/>
      <c r="F31" s="6">
        <f t="shared" si="4"/>
        <v>0</v>
      </c>
      <c r="G31" s="2"/>
      <c r="H31" s="3">
        <f t="shared" si="5"/>
        <v>0</v>
      </c>
    </row>
    <row r="32" spans="3:8" x14ac:dyDescent="0.25">
      <c r="C32" s="2"/>
      <c r="D32" s="2"/>
      <c r="E32" s="2"/>
      <c r="F32" s="6">
        <f t="shared" si="4"/>
        <v>0</v>
      </c>
      <c r="G32" s="2"/>
      <c r="H32" s="3">
        <f t="shared" si="5"/>
        <v>0</v>
      </c>
    </row>
    <row r="33" spans="3:8" x14ac:dyDescent="0.25">
      <c r="C33" s="2"/>
      <c r="D33" s="2"/>
      <c r="E33" s="2"/>
      <c r="F33" s="6">
        <f t="shared" si="4"/>
        <v>0</v>
      </c>
      <c r="G33" s="2"/>
      <c r="H33" s="3">
        <f t="shared" si="5"/>
        <v>0</v>
      </c>
    </row>
    <row r="34" spans="3:8" x14ac:dyDescent="0.25">
      <c r="C34" s="2"/>
      <c r="D34" s="2"/>
      <c r="E34" s="2"/>
      <c r="F34" s="6">
        <f t="shared" si="4"/>
        <v>0</v>
      </c>
      <c r="G34" s="2"/>
      <c r="H34" s="3">
        <f t="shared" si="5"/>
        <v>0</v>
      </c>
    </row>
    <row r="35" spans="3:8" x14ac:dyDescent="0.25">
      <c r="C35" s="2"/>
      <c r="D35" s="2"/>
      <c r="E35" s="2"/>
      <c r="F35" s="6">
        <f t="shared" si="4"/>
        <v>0</v>
      </c>
      <c r="G35" s="2"/>
      <c r="H35" s="3">
        <f t="shared" si="5"/>
        <v>0</v>
      </c>
    </row>
  </sheetData>
  <mergeCells count="2">
    <mergeCell ref="H1:H2"/>
    <mergeCell ref="D1:G1"/>
  </mergeCells>
  <conditionalFormatting sqref="D3:E19">
    <cfRule type="cellIs" dxfId="25" priority="1" operator="lessThan">
      <formula>11</formula>
    </cfRule>
    <cfRule type="cellIs" dxfId="24" priority="2" operator="greaterThan">
      <formula>10</formula>
    </cfRule>
  </conditionalFormatting>
  <conditionalFormatting sqref="I1:J2 F3:J19 D20:J1048576">
    <cfRule type="cellIs" dxfId="23" priority="15" operator="lessThan">
      <formula>11</formula>
    </cfRule>
  </conditionalFormatting>
  <conditionalFormatting sqref="H3:H35">
    <cfRule type="cellIs" dxfId="22" priority="13" operator="lessThan">
      <formula>10.5</formula>
    </cfRule>
    <cfRule type="cellIs" dxfId="21" priority="14" operator="greaterThan">
      <formula>10.49</formula>
    </cfRule>
  </conditionalFormatting>
  <conditionalFormatting sqref="I1:J2 F3:J19 D20:J1048576">
    <cfRule type="cellIs" dxfId="20" priority="16" operator="greaterThan">
      <formula>10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6"/>
  <sheetViews>
    <sheetView workbookViewId="0">
      <selection activeCell="A20" sqref="A20:XFD20"/>
    </sheetView>
  </sheetViews>
  <sheetFormatPr baseColWidth="10" defaultRowHeight="15" x14ac:dyDescent="0.25"/>
  <cols>
    <col min="1" max="1" width="44.140625" bestFit="1" customWidth="1"/>
    <col min="2" max="2" width="12" bestFit="1" customWidth="1"/>
    <col min="3" max="3" width="12" customWidth="1"/>
    <col min="4" max="4" width="13.28515625" customWidth="1"/>
  </cols>
  <sheetData>
    <row r="1" spans="1:5" ht="60" x14ac:dyDescent="0.25">
      <c r="A1" s="7" t="s">
        <v>14</v>
      </c>
      <c r="B1" s="8" t="s">
        <v>24</v>
      </c>
      <c r="C1" s="8" t="s">
        <v>25</v>
      </c>
      <c r="D1" s="8" t="s">
        <v>15</v>
      </c>
      <c r="E1" s="8" t="s">
        <v>16</v>
      </c>
    </row>
    <row r="2" spans="1:5" x14ac:dyDescent="0.25">
      <c r="A2" s="2" t="s">
        <v>63</v>
      </c>
      <c r="B2" s="17">
        <v>88</v>
      </c>
      <c r="C2" s="2">
        <v>82</v>
      </c>
      <c r="D2" s="11">
        <f t="shared" ref="D2:D12" si="0">IFERROR(AVERAGE(B2:C2),"")</f>
        <v>85</v>
      </c>
      <c r="E2" s="9">
        <f t="shared" ref="E2:E12" si="1">IFERROR(ROUND(D2*0.2,0),"")</f>
        <v>17</v>
      </c>
    </row>
    <row r="3" spans="1:5" x14ac:dyDescent="0.25">
      <c r="A3" s="2" t="s">
        <v>41</v>
      </c>
      <c r="B3" s="17">
        <v>97</v>
      </c>
      <c r="C3" s="2">
        <v>100</v>
      </c>
      <c r="D3" s="11">
        <f t="shared" si="0"/>
        <v>98.5</v>
      </c>
      <c r="E3" s="9">
        <f t="shared" si="1"/>
        <v>20</v>
      </c>
    </row>
    <row r="4" spans="1:5" x14ac:dyDescent="0.25">
      <c r="A4" s="2" t="s">
        <v>42</v>
      </c>
      <c r="B4" s="17">
        <v>97</v>
      </c>
      <c r="C4" s="2">
        <v>97</v>
      </c>
      <c r="D4" s="11">
        <f t="shared" si="0"/>
        <v>97</v>
      </c>
      <c r="E4" s="9">
        <f t="shared" si="1"/>
        <v>19</v>
      </c>
    </row>
    <row r="5" spans="1:5" x14ac:dyDescent="0.25">
      <c r="A5" s="2" t="s">
        <v>43</v>
      </c>
      <c r="B5" s="17">
        <v>88</v>
      </c>
      <c r="C5" s="2">
        <v>85</v>
      </c>
      <c r="D5" s="11">
        <f t="shared" si="0"/>
        <v>86.5</v>
      </c>
      <c r="E5" s="9">
        <f t="shared" si="1"/>
        <v>17</v>
      </c>
    </row>
    <row r="6" spans="1:5" x14ac:dyDescent="0.25">
      <c r="A6" s="2" t="s">
        <v>44</v>
      </c>
      <c r="B6" s="17">
        <v>91</v>
      </c>
      <c r="C6" s="2">
        <v>100</v>
      </c>
      <c r="D6" s="11">
        <f t="shared" si="0"/>
        <v>95.5</v>
      </c>
      <c r="E6" s="9">
        <f t="shared" si="1"/>
        <v>19</v>
      </c>
    </row>
    <row r="7" spans="1:5" x14ac:dyDescent="0.25">
      <c r="A7" s="2" t="s">
        <v>45</v>
      </c>
      <c r="B7" s="17">
        <v>100</v>
      </c>
      <c r="C7" s="2">
        <v>100</v>
      </c>
      <c r="D7" s="11">
        <f t="shared" si="0"/>
        <v>100</v>
      </c>
      <c r="E7" s="9">
        <f t="shared" si="1"/>
        <v>20</v>
      </c>
    </row>
    <row r="8" spans="1:5" x14ac:dyDescent="0.25">
      <c r="A8" s="2" t="s">
        <v>46</v>
      </c>
      <c r="B8" s="17">
        <v>97</v>
      </c>
      <c r="C8" s="2">
        <v>94</v>
      </c>
      <c r="D8" s="11">
        <f t="shared" si="0"/>
        <v>95.5</v>
      </c>
      <c r="E8" s="9">
        <f t="shared" si="1"/>
        <v>19</v>
      </c>
    </row>
    <row r="9" spans="1:5" x14ac:dyDescent="0.25">
      <c r="A9" s="2" t="s">
        <v>47</v>
      </c>
      <c r="B9" s="17">
        <v>0</v>
      </c>
      <c r="C9" s="2">
        <v>97</v>
      </c>
      <c r="D9" s="11">
        <f t="shared" si="0"/>
        <v>48.5</v>
      </c>
      <c r="E9" s="9">
        <f t="shared" si="1"/>
        <v>10</v>
      </c>
    </row>
    <row r="10" spans="1:5" x14ac:dyDescent="0.25">
      <c r="A10" s="2" t="s">
        <v>48</v>
      </c>
      <c r="B10" s="17">
        <v>0</v>
      </c>
      <c r="C10" s="2">
        <v>0</v>
      </c>
      <c r="D10" s="11">
        <f t="shared" si="0"/>
        <v>0</v>
      </c>
      <c r="E10" s="9">
        <f t="shared" si="1"/>
        <v>0</v>
      </c>
    </row>
    <row r="11" spans="1:5" x14ac:dyDescent="0.25">
      <c r="A11" s="2" t="s">
        <v>49</v>
      </c>
      <c r="B11" s="17">
        <v>79</v>
      </c>
      <c r="C11" s="2">
        <v>97</v>
      </c>
      <c r="D11" s="11">
        <f t="shared" si="0"/>
        <v>88</v>
      </c>
      <c r="E11" s="9">
        <f t="shared" si="1"/>
        <v>18</v>
      </c>
    </row>
    <row r="12" spans="1:5" x14ac:dyDescent="0.25">
      <c r="A12" s="2" t="s">
        <v>50</v>
      </c>
      <c r="B12" s="17">
        <v>97</v>
      </c>
      <c r="C12" s="2">
        <v>100</v>
      </c>
      <c r="D12" s="11">
        <f t="shared" si="0"/>
        <v>98.5</v>
      </c>
      <c r="E12" s="9">
        <f t="shared" si="1"/>
        <v>20</v>
      </c>
    </row>
    <row r="13" spans="1:5" x14ac:dyDescent="0.25">
      <c r="A13" s="2" t="s">
        <v>51</v>
      </c>
      <c r="B13" s="17">
        <v>97</v>
      </c>
      <c r="C13" s="2">
        <v>97</v>
      </c>
      <c r="D13" s="11">
        <f t="shared" ref="D13:D14" si="2">IFERROR(AVERAGE(B13:C13),"")</f>
        <v>97</v>
      </c>
      <c r="E13" s="9">
        <f t="shared" ref="E13:E14" si="3">IFERROR(ROUND(D13*0.2,0),"")</f>
        <v>19</v>
      </c>
    </row>
    <row r="14" spans="1:5" x14ac:dyDescent="0.25">
      <c r="A14" s="2" t="s">
        <v>52</v>
      </c>
      <c r="B14" s="17">
        <v>97</v>
      </c>
      <c r="C14" s="2">
        <v>97</v>
      </c>
      <c r="D14" s="11">
        <f t="shared" si="2"/>
        <v>97</v>
      </c>
      <c r="E14" s="9">
        <f t="shared" si="3"/>
        <v>19</v>
      </c>
    </row>
    <row r="15" spans="1:5" x14ac:dyDescent="0.25">
      <c r="A15" s="2" t="s">
        <v>53</v>
      </c>
      <c r="B15" s="17">
        <v>94</v>
      </c>
      <c r="C15" s="2">
        <v>91</v>
      </c>
      <c r="D15" s="11">
        <f t="shared" ref="D15:D36" si="4">IFERROR(AVERAGE(B15:C15),"")</f>
        <v>92.5</v>
      </c>
      <c r="E15" s="9">
        <f t="shared" ref="E15:E36" si="5">IFERROR(ROUND(D15*0.2,0),"")</f>
        <v>19</v>
      </c>
    </row>
    <row r="16" spans="1:5" x14ac:dyDescent="0.25">
      <c r="A16" s="2" t="s">
        <v>54</v>
      </c>
      <c r="B16" s="17">
        <v>100</v>
      </c>
      <c r="C16" s="2">
        <v>100</v>
      </c>
      <c r="D16" s="11">
        <f t="shared" si="4"/>
        <v>100</v>
      </c>
      <c r="E16" s="9">
        <f t="shared" si="5"/>
        <v>20</v>
      </c>
    </row>
    <row r="17" spans="1:5" x14ac:dyDescent="0.25">
      <c r="A17" s="2" t="s">
        <v>55</v>
      </c>
      <c r="B17" s="17">
        <v>100</v>
      </c>
      <c r="C17" s="2">
        <v>67</v>
      </c>
      <c r="D17" s="11">
        <f t="shared" si="4"/>
        <v>83.5</v>
      </c>
      <c r="E17" s="9">
        <f t="shared" si="5"/>
        <v>17</v>
      </c>
    </row>
    <row r="18" spans="1:5" x14ac:dyDescent="0.25">
      <c r="A18" s="2" t="s">
        <v>56</v>
      </c>
      <c r="B18" s="17">
        <v>100</v>
      </c>
      <c r="C18" s="2">
        <v>100</v>
      </c>
      <c r="D18" s="11">
        <f t="shared" si="4"/>
        <v>100</v>
      </c>
      <c r="E18" s="9">
        <f t="shared" si="5"/>
        <v>20</v>
      </c>
    </row>
    <row r="19" spans="1:5" x14ac:dyDescent="0.25">
      <c r="A19" s="2" t="s">
        <v>57</v>
      </c>
      <c r="B19" s="2">
        <v>70</v>
      </c>
      <c r="C19" s="2">
        <v>97</v>
      </c>
      <c r="D19" s="11">
        <f t="shared" si="4"/>
        <v>83.5</v>
      </c>
      <c r="E19" s="9">
        <f t="shared" si="5"/>
        <v>17</v>
      </c>
    </row>
    <row r="20" spans="1:5" x14ac:dyDescent="0.25">
      <c r="A20" s="2" t="s">
        <v>58</v>
      </c>
      <c r="B20" s="2">
        <v>100</v>
      </c>
      <c r="C20" s="2">
        <v>100</v>
      </c>
      <c r="D20" s="11">
        <f t="shared" si="4"/>
        <v>100</v>
      </c>
      <c r="E20" s="9">
        <f t="shared" si="5"/>
        <v>20</v>
      </c>
    </row>
    <row r="21" spans="1:5" x14ac:dyDescent="0.25">
      <c r="A21" s="2" t="s">
        <v>59</v>
      </c>
      <c r="B21" s="2">
        <v>97</v>
      </c>
      <c r="C21" s="2">
        <v>100</v>
      </c>
      <c r="D21" s="11">
        <f t="shared" si="4"/>
        <v>98.5</v>
      </c>
      <c r="E21" s="9">
        <f t="shared" si="5"/>
        <v>20</v>
      </c>
    </row>
    <row r="22" spans="1:5" x14ac:dyDescent="0.25">
      <c r="A22" s="2" t="s">
        <v>60</v>
      </c>
      <c r="B22" s="2">
        <v>97</v>
      </c>
      <c r="C22" s="2">
        <v>100</v>
      </c>
      <c r="D22" s="11">
        <f t="shared" si="4"/>
        <v>98.5</v>
      </c>
      <c r="E22" s="9">
        <f t="shared" si="5"/>
        <v>20</v>
      </c>
    </row>
    <row r="23" spans="1:5" x14ac:dyDescent="0.25">
      <c r="A23" s="2" t="s">
        <v>61</v>
      </c>
      <c r="B23" s="2">
        <v>94</v>
      </c>
      <c r="C23" s="2">
        <v>97</v>
      </c>
      <c r="D23" s="11">
        <f t="shared" si="4"/>
        <v>95.5</v>
      </c>
      <c r="E23" s="9">
        <f t="shared" si="5"/>
        <v>19</v>
      </c>
    </row>
    <row r="24" spans="1:5" x14ac:dyDescent="0.25">
      <c r="A24" s="2" t="s">
        <v>62</v>
      </c>
      <c r="B24" s="2">
        <v>100</v>
      </c>
      <c r="C24" s="2">
        <v>97</v>
      </c>
      <c r="D24" s="11">
        <f t="shared" si="4"/>
        <v>98.5</v>
      </c>
      <c r="E24" s="9">
        <f t="shared" si="5"/>
        <v>20</v>
      </c>
    </row>
    <row r="25" spans="1:5" x14ac:dyDescent="0.25">
      <c r="A25" s="2"/>
      <c r="B25" s="2"/>
      <c r="C25" s="2"/>
      <c r="D25" s="11" t="str">
        <f t="shared" si="4"/>
        <v/>
      </c>
      <c r="E25" s="9" t="str">
        <f t="shared" si="5"/>
        <v/>
      </c>
    </row>
    <row r="26" spans="1:5" x14ac:dyDescent="0.25">
      <c r="A26" s="2"/>
      <c r="B26" s="2"/>
      <c r="C26" s="2"/>
      <c r="D26" s="11" t="str">
        <f t="shared" si="4"/>
        <v/>
      </c>
      <c r="E26" s="9" t="str">
        <f t="shared" si="5"/>
        <v/>
      </c>
    </row>
    <row r="27" spans="1:5" x14ac:dyDescent="0.25">
      <c r="A27" s="2"/>
      <c r="B27" s="2"/>
      <c r="C27" s="2"/>
      <c r="D27" s="11" t="str">
        <f t="shared" si="4"/>
        <v/>
      </c>
      <c r="E27" s="9" t="str">
        <f t="shared" si="5"/>
        <v/>
      </c>
    </row>
    <row r="28" spans="1:5" x14ac:dyDescent="0.25">
      <c r="A28" s="2"/>
      <c r="B28" s="2"/>
      <c r="C28" s="2"/>
      <c r="D28" s="11" t="str">
        <f t="shared" si="4"/>
        <v/>
      </c>
      <c r="E28" s="9" t="str">
        <f t="shared" si="5"/>
        <v/>
      </c>
    </row>
    <row r="29" spans="1:5" x14ac:dyDescent="0.25">
      <c r="A29" s="2"/>
      <c r="B29" s="2"/>
      <c r="C29" s="2"/>
      <c r="D29" s="11" t="str">
        <f t="shared" si="4"/>
        <v/>
      </c>
      <c r="E29" s="9" t="str">
        <f t="shared" si="5"/>
        <v/>
      </c>
    </row>
    <row r="30" spans="1:5" x14ac:dyDescent="0.25">
      <c r="A30" s="2"/>
      <c r="B30" s="2"/>
      <c r="C30" s="2"/>
      <c r="D30" s="11" t="str">
        <f t="shared" si="4"/>
        <v/>
      </c>
      <c r="E30" s="9" t="str">
        <f t="shared" si="5"/>
        <v/>
      </c>
    </row>
    <row r="31" spans="1:5" x14ac:dyDescent="0.25">
      <c r="A31" s="2"/>
      <c r="B31" s="2"/>
      <c r="C31" s="2"/>
      <c r="D31" s="11" t="str">
        <f t="shared" si="4"/>
        <v/>
      </c>
      <c r="E31" s="9" t="str">
        <f t="shared" si="5"/>
        <v/>
      </c>
    </row>
    <row r="32" spans="1:5" x14ac:dyDescent="0.25">
      <c r="A32" s="2"/>
      <c r="B32" s="2"/>
      <c r="C32" s="2"/>
      <c r="D32" s="11" t="str">
        <f t="shared" si="4"/>
        <v/>
      </c>
      <c r="E32" s="9" t="str">
        <f t="shared" si="5"/>
        <v/>
      </c>
    </row>
    <row r="33" spans="1:5" x14ac:dyDescent="0.25">
      <c r="A33" s="2"/>
      <c r="B33" s="2"/>
      <c r="C33" s="2"/>
      <c r="D33" s="11" t="str">
        <f t="shared" si="4"/>
        <v/>
      </c>
      <c r="E33" s="9" t="str">
        <f t="shared" si="5"/>
        <v/>
      </c>
    </row>
    <row r="34" spans="1:5" x14ac:dyDescent="0.25">
      <c r="A34" s="2"/>
      <c r="B34" s="2"/>
      <c r="C34" s="2"/>
      <c r="D34" s="11" t="str">
        <f t="shared" si="4"/>
        <v/>
      </c>
      <c r="E34" s="9" t="str">
        <f t="shared" si="5"/>
        <v/>
      </c>
    </row>
    <row r="35" spans="1:5" x14ac:dyDescent="0.25">
      <c r="A35" s="2"/>
      <c r="B35" s="2"/>
      <c r="C35" s="2"/>
      <c r="D35" s="11" t="str">
        <f t="shared" si="4"/>
        <v/>
      </c>
      <c r="E35" s="9" t="str">
        <f t="shared" si="5"/>
        <v/>
      </c>
    </row>
    <row r="36" spans="1:5" x14ac:dyDescent="0.25">
      <c r="A36" s="2"/>
      <c r="B36" s="2"/>
      <c r="C36" s="2"/>
      <c r="D36" s="11" t="str">
        <f t="shared" si="4"/>
        <v/>
      </c>
      <c r="E36" s="9" t="str">
        <f t="shared" si="5"/>
        <v/>
      </c>
    </row>
  </sheetData>
  <conditionalFormatting sqref="E2:E36">
    <cfRule type="cellIs" dxfId="19" priority="1" operator="lessThan">
      <formula>11</formula>
    </cfRule>
    <cfRule type="cellIs" dxfId="18" priority="2" operator="greaterThan">
      <formula>10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9"/>
  <sheetViews>
    <sheetView showGridLines="0" topLeftCell="C2" workbookViewId="0">
      <selection activeCell="C21" sqref="A21:XFD21"/>
    </sheetView>
  </sheetViews>
  <sheetFormatPr baseColWidth="10" defaultColWidth="26.28515625" defaultRowHeight="15" zeroHeight="1" x14ac:dyDescent="0.25"/>
  <cols>
    <col min="1" max="2" width="0" hidden="1" customWidth="1"/>
    <col min="3" max="3" width="44.140625" bestFit="1" customWidth="1"/>
    <col min="4" max="4" width="13.85546875" customWidth="1"/>
    <col min="5" max="5" width="10.5703125" customWidth="1"/>
    <col min="6" max="6" width="16" customWidth="1"/>
    <col min="7" max="7" width="6.140625" customWidth="1"/>
    <col min="8" max="9" width="26.28515625" customWidth="1"/>
  </cols>
  <sheetData>
    <row r="1" spans="1:6" x14ac:dyDescent="0.25">
      <c r="C1" s="2"/>
      <c r="D1" s="29" t="s">
        <v>8</v>
      </c>
      <c r="E1" s="28"/>
      <c r="F1" s="30" t="s">
        <v>18</v>
      </c>
    </row>
    <row r="2" spans="1:6" ht="164.25" customHeight="1" x14ac:dyDescent="0.25">
      <c r="A2" t="s">
        <v>0</v>
      </c>
      <c r="B2" t="s">
        <v>1</v>
      </c>
      <c r="C2" s="15" t="s">
        <v>2</v>
      </c>
      <c r="D2" s="23" t="s">
        <v>26</v>
      </c>
      <c r="E2" s="23" t="s">
        <v>27</v>
      </c>
      <c r="F2" s="27"/>
    </row>
    <row r="3" spans="1:6" x14ac:dyDescent="0.25">
      <c r="A3" s="1" t="s">
        <v>3</v>
      </c>
      <c r="B3" s="1" t="s">
        <v>4</v>
      </c>
      <c r="C3" s="2" t="s">
        <v>63</v>
      </c>
      <c r="D3" s="13">
        <v>10</v>
      </c>
      <c r="E3" s="4">
        <v>11</v>
      </c>
      <c r="F3" s="3">
        <f t="shared" ref="F3:F17" si="0">ROUND(D3*0.3+E3*0.7,0)</f>
        <v>11</v>
      </c>
    </row>
    <row r="4" spans="1:6" x14ac:dyDescent="0.25">
      <c r="C4" s="2" t="s">
        <v>41</v>
      </c>
      <c r="D4" s="13">
        <v>0</v>
      </c>
      <c r="E4" s="4">
        <v>0</v>
      </c>
      <c r="F4" s="3">
        <f t="shared" si="0"/>
        <v>0</v>
      </c>
    </row>
    <row r="5" spans="1:6" x14ac:dyDescent="0.25">
      <c r="C5" s="2" t="s">
        <v>42</v>
      </c>
      <c r="D5" s="13">
        <v>17</v>
      </c>
      <c r="E5" s="4">
        <v>11</v>
      </c>
      <c r="F5" s="3">
        <f t="shared" si="0"/>
        <v>13</v>
      </c>
    </row>
    <row r="6" spans="1:6" x14ac:dyDescent="0.25">
      <c r="C6" s="2" t="s">
        <v>43</v>
      </c>
      <c r="D6" s="13">
        <v>16</v>
      </c>
      <c r="E6" s="4">
        <v>4</v>
      </c>
      <c r="F6" s="3">
        <f t="shared" si="0"/>
        <v>8</v>
      </c>
    </row>
    <row r="7" spans="1:6" x14ac:dyDescent="0.25">
      <c r="C7" s="2" t="s">
        <v>44</v>
      </c>
      <c r="D7" s="13">
        <v>15</v>
      </c>
      <c r="E7" s="4">
        <v>9</v>
      </c>
      <c r="F7" s="3">
        <f t="shared" si="0"/>
        <v>11</v>
      </c>
    </row>
    <row r="8" spans="1:6" x14ac:dyDescent="0.25">
      <c r="C8" s="2" t="s">
        <v>45</v>
      </c>
      <c r="D8" s="13">
        <v>18</v>
      </c>
      <c r="E8" s="4">
        <v>20</v>
      </c>
      <c r="F8" s="3">
        <f t="shared" si="0"/>
        <v>19</v>
      </c>
    </row>
    <row r="9" spans="1:6" x14ac:dyDescent="0.25">
      <c r="C9" s="2" t="s">
        <v>46</v>
      </c>
      <c r="D9" s="13">
        <v>14</v>
      </c>
      <c r="E9" s="4">
        <v>13</v>
      </c>
      <c r="F9" s="3">
        <f t="shared" si="0"/>
        <v>13</v>
      </c>
    </row>
    <row r="10" spans="1:6" x14ac:dyDescent="0.25">
      <c r="C10" s="2" t="s">
        <v>47</v>
      </c>
      <c r="D10" s="13">
        <v>10</v>
      </c>
      <c r="E10" s="4">
        <v>8</v>
      </c>
      <c r="F10" s="3">
        <f t="shared" si="0"/>
        <v>9</v>
      </c>
    </row>
    <row r="11" spans="1:6" x14ac:dyDescent="0.25">
      <c r="C11" s="2" t="s">
        <v>48</v>
      </c>
      <c r="D11" s="13">
        <v>9</v>
      </c>
      <c r="E11" s="4">
        <v>5</v>
      </c>
      <c r="F11" s="3">
        <f t="shared" si="0"/>
        <v>6</v>
      </c>
    </row>
    <row r="12" spans="1:6" x14ac:dyDescent="0.25">
      <c r="C12" s="2" t="s">
        <v>49</v>
      </c>
      <c r="D12" s="13">
        <v>10</v>
      </c>
      <c r="E12" s="4">
        <v>10</v>
      </c>
      <c r="F12" s="3">
        <f t="shared" si="0"/>
        <v>10</v>
      </c>
    </row>
    <row r="13" spans="1:6" x14ac:dyDescent="0.25">
      <c r="C13" s="2" t="s">
        <v>50</v>
      </c>
      <c r="D13" s="13">
        <v>15</v>
      </c>
      <c r="E13" s="4">
        <v>15</v>
      </c>
      <c r="F13" s="3">
        <f t="shared" si="0"/>
        <v>15</v>
      </c>
    </row>
    <row r="14" spans="1:6" x14ac:dyDescent="0.25">
      <c r="C14" s="2" t="s">
        <v>51</v>
      </c>
      <c r="D14" s="13">
        <v>6</v>
      </c>
      <c r="E14" s="4">
        <v>4</v>
      </c>
      <c r="F14" s="3">
        <f t="shared" si="0"/>
        <v>5</v>
      </c>
    </row>
    <row r="15" spans="1:6" x14ac:dyDescent="0.25">
      <c r="C15" s="2" t="s">
        <v>52</v>
      </c>
      <c r="D15" s="13">
        <v>14</v>
      </c>
      <c r="E15" s="4">
        <v>0</v>
      </c>
      <c r="F15" s="3">
        <f t="shared" si="0"/>
        <v>4</v>
      </c>
    </row>
    <row r="16" spans="1:6" x14ac:dyDescent="0.25">
      <c r="C16" s="2" t="s">
        <v>53</v>
      </c>
      <c r="D16" s="13">
        <v>8</v>
      </c>
      <c r="E16" s="4">
        <v>10</v>
      </c>
      <c r="F16" s="3">
        <f t="shared" si="0"/>
        <v>9</v>
      </c>
    </row>
    <row r="17" spans="3:6" x14ac:dyDescent="0.25">
      <c r="C17" s="2" t="s">
        <v>54</v>
      </c>
      <c r="D17" s="13">
        <v>17</v>
      </c>
      <c r="E17" s="4">
        <v>20</v>
      </c>
      <c r="F17" s="3">
        <f t="shared" si="0"/>
        <v>19</v>
      </c>
    </row>
    <row r="18" spans="3:6" x14ac:dyDescent="0.25">
      <c r="C18" s="2" t="s">
        <v>55</v>
      </c>
      <c r="D18" s="13">
        <v>12</v>
      </c>
      <c r="E18" s="4">
        <v>18</v>
      </c>
      <c r="F18" s="3">
        <f t="shared" ref="F18:F36" si="1">ROUND(D18*0.3+E18*0.7,0)</f>
        <v>16</v>
      </c>
    </row>
    <row r="19" spans="3:6" x14ac:dyDescent="0.25">
      <c r="C19" s="2" t="s">
        <v>56</v>
      </c>
      <c r="D19" s="13">
        <v>15</v>
      </c>
      <c r="E19" s="4">
        <v>15</v>
      </c>
      <c r="F19" s="3">
        <f t="shared" si="1"/>
        <v>15</v>
      </c>
    </row>
    <row r="20" spans="3:6" x14ac:dyDescent="0.25">
      <c r="C20" s="2" t="s">
        <v>57</v>
      </c>
      <c r="D20" s="13">
        <v>15</v>
      </c>
      <c r="E20" s="4">
        <v>12</v>
      </c>
      <c r="F20" s="3">
        <f t="shared" si="1"/>
        <v>13</v>
      </c>
    </row>
    <row r="21" spans="3:6" x14ac:dyDescent="0.25">
      <c r="C21" s="2" t="s">
        <v>58</v>
      </c>
      <c r="D21" s="2">
        <v>13</v>
      </c>
      <c r="E21" s="2">
        <v>15</v>
      </c>
      <c r="F21" s="3">
        <f t="shared" si="1"/>
        <v>14</v>
      </c>
    </row>
    <row r="22" spans="3:6" x14ac:dyDescent="0.25">
      <c r="C22" s="2" t="s">
        <v>59</v>
      </c>
      <c r="D22" s="2">
        <v>7</v>
      </c>
      <c r="E22" s="2">
        <v>12</v>
      </c>
      <c r="F22" s="3">
        <f t="shared" si="1"/>
        <v>11</v>
      </c>
    </row>
    <row r="23" spans="3:6" x14ac:dyDescent="0.25">
      <c r="C23" s="2" t="s">
        <v>60</v>
      </c>
      <c r="D23" s="2">
        <v>8</v>
      </c>
      <c r="E23" s="2">
        <v>10</v>
      </c>
      <c r="F23" s="3">
        <f t="shared" si="1"/>
        <v>9</v>
      </c>
    </row>
    <row r="24" spans="3:6" x14ac:dyDescent="0.25">
      <c r="C24" s="2" t="s">
        <v>61</v>
      </c>
      <c r="D24" s="2">
        <v>7</v>
      </c>
      <c r="E24" s="2">
        <v>3</v>
      </c>
      <c r="F24" s="3">
        <f t="shared" si="1"/>
        <v>4</v>
      </c>
    </row>
    <row r="25" spans="3:6" x14ac:dyDescent="0.25">
      <c r="C25" s="2" t="s">
        <v>62</v>
      </c>
      <c r="D25" s="2">
        <v>14</v>
      </c>
      <c r="E25" s="2">
        <v>7</v>
      </c>
      <c r="F25" s="3">
        <f t="shared" si="1"/>
        <v>9</v>
      </c>
    </row>
    <row r="26" spans="3:6" x14ac:dyDescent="0.25">
      <c r="C26" s="2"/>
      <c r="D26" s="2"/>
      <c r="E26" s="2"/>
      <c r="F26" s="3">
        <f t="shared" si="1"/>
        <v>0</v>
      </c>
    </row>
    <row r="27" spans="3:6" x14ac:dyDescent="0.25">
      <c r="C27" s="2"/>
      <c r="D27" s="2"/>
      <c r="E27" s="2"/>
      <c r="F27" s="3">
        <f t="shared" si="1"/>
        <v>0</v>
      </c>
    </row>
    <row r="28" spans="3:6" x14ac:dyDescent="0.25">
      <c r="C28" s="2"/>
      <c r="D28" s="2"/>
      <c r="E28" s="2"/>
      <c r="F28" s="3">
        <f t="shared" si="1"/>
        <v>0</v>
      </c>
    </row>
    <row r="29" spans="3:6" x14ac:dyDescent="0.25">
      <c r="C29" s="2"/>
      <c r="D29" s="2"/>
      <c r="E29" s="2"/>
      <c r="F29" s="3">
        <f t="shared" si="1"/>
        <v>0</v>
      </c>
    </row>
    <row r="30" spans="3:6" x14ac:dyDescent="0.25">
      <c r="C30" s="2"/>
      <c r="D30" s="2"/>
      <c r="E30" s="2"/>
      <c r="F30" s="3">
        <f t="shared" si="1"/>
        <v>0</v>
      </c>
    </row>
    <row r="31" spans="3:6" x14ac:dyDescent="0.25">
      <c r="C31" s="2"/>
      <c r="D31" s="2"/>
      <c r="E31" s="2"/>
      <c r="F31" s="3">
        <f t="shared" si="1"/>
        <v>0</v>
      </c>
    </row>
    <row r="32" spans="3:6" x14ac:dyDescent="0.25">
      <c r="C32" s="2"/>
      <c r="D32" s="2"/>
      <c r="E32" s="2"/>
      <c r="F32" s="3">
        <f t="shared" si="1"/>
        <v>0</v>
      </c>
    </row>
    <row r="33" spans="3:6" x14ac:dyDescent="0.25">
      <c r="C33" s="2"/>
      <c r="D33" s="2"/>
      <c r="E33" s="2"/>
      <c r="F33" s="3">
        <f t="shared" si="1"/>
        <v>0</v>
      </c>
    </row>
    <row r="34" spans="3:6" x14ac:dyDescent="0.25">
      <c r="C34" s="2"/>
      <c r="D34" s="2"/>
      <c r="E34" s="2"/>
      <c r="F34" s="3">
        <f t="shared" si="1"/>
        <v>0</v>
      </c>
    </row>
    <row r="35" spans="3:6" x14ac:dyDescent="0.25">
      <c r="C35" s="2"/>
      <c r="D35" s="2"/>
      <c r="E35" s="2"/>
      <c r="F35" s="3">
        <f t="shared" si="1"/>
        <v>0</v>
      </c>
    </row>
    <row r="36" spans="3:6" x14ac:dyDescent="0.25">
      <c r="C36" s="2"/>
      <c r="D36" s="2"/>
      <c r="E36" s="2"/>
      <c r="F36" s="3">
        <f t="shared" si="1"/>
        <v>0</v>
      </c>
    </row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x14ac:dyDescent="0.25"/>
  </sheetData>
  <mergeCells count="2">
    <mergeCell ref="D1:E1"/>
    <mergeCell ref="F1:F2"/>
  </mergeCells>
  <conditionalFormatting sqref="G1:H2 D3:H1048576">
    <cfRule type="cellIs" dxfId="17" priority="3" operator="lessThan">
      <formula>11</formula>
    </cfRule>
  </conditionalFormatting>
  <conditionalFormatting sqref="F3:F36">
    <cfRule type="cellIs" dxfId="16" priority="1" operator="lessThan">
      <formula>10.5</formula>
    </cfRule>
    <cfRule type="cellIs" dxfId="15" priority="2" operator="greaterThan">
      <formula>10.49</formula>
    </cfRule>
  </conditionalFormatting>
  <conditionalFormatting sqref="G1:H2 D3:H1048576">
    <cfRule type="cellIs" dxfId="14" priority="4" operator="greaterThan">
      <formula>10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9"/>
  <sheetViews>
    <sheetView showGridLines="0" tabSelected="1" topLeftCell="C1" workbookViewId="0">
      <selection activeCell="G21" sqref="G21"/>
    </sheetView>
  </sheetViews>
  <sheetFormatPr baseColWidth="10" defaultColWidth="0" defaultRowHeight="15" zeroHeight="1" x14ac:dyDescent="0.25"/>
  <cols>
    <col min="1" max="2" width="0" hidden="1" customWidth="1"/>
    <col min="3" max="3" width="32" bestFit="1" customWidth="1"/>
    <col min="4" max="4" width="11.7109375" customWidth="1"/>
    <col min="5" max="5" width="12.28515625" customWidth="1"/>
    <col min="6" max="7" width="12.140625" customWidth="1"/>
    <col min="8" max="8" width="16" customWidth="1"/>
    <col min="9" max="9" width="6.140625" customWidth="1"/>
    <col min="10" max="16384" width="26.28515625" hidden="1"/>
  </cols>
  <sheetData>
    <row r="1" spans="1:8" x14ac:dyDescent="0.25">
      <c r="C1" s="2"/>
      <c r="D1" s="31" t="s">
        <v>9</v>
      </c>
      <c r="E1" s="28"/>
      <c r="F1" s="28"/>
      <c r="G1" s="28"/>
      <c r="H1" s="32" t="s">
        <v>10</v>
      </c>
    </row>
    <row r="2" spans="1:8" ht="150" x14ac:dyDescent="0.25">
      <c r="A2" t="s">
        <v>0</v>
      </c>
      <c r="B2" t="s">
        <v>1</v>
      </c>
      <c r="C2" s="5" t="s">
        <v>2</v>
      </c>
      <c r="D2" s="23" t="s">
        <v>28</v>
      </c>
      <c r="E2" s="23" t="s">
        <v>29</v>
      </c>
      <c r="F2" s="12" t="s">
        <v>11</v>
      </c>
      <c r="G2" s="23" t="s">
        <v>30</v>
      </c>
      <c r="H2" s="27"/>
    </row>
    <row r="3" spans="1:8" x14ac:dyDescent="0.25">
      <c r="A3" s="1" t="s">
        <v>3</v>
      </c>
      <c r="B3" s="1" t="s">
        <v>4</v>
      </c>
      <c r="C3" s="2" t="s">
        <v>63</v>
      </c>
      <c r="D3" s="13">
        <v>11</v>
      </c>
      <c r="E3" s="13"/>
      <c r="F3" s="6">
        <f t="shared" ref="F3:F37" si="0">IFERROR(ROUND(D3*0.7+E3*0.3,0),"")</f>
        <v>8</v>
      </c>
      <c r="G3" s="13">
        <v>7</v>
      </c>
      <c r="H3" s="3">
        <f t="shared" ref="H3:H37" si="1">IFERROR(AVERAGE(F3:G3),"")</f>
        <v>7.5</v>
      </c>
    </row>
    <row r="4" spans="1:8" x14ac:dyDescent="0.25">
      <c r="A4" s="1" t="s">
        <v>3</v>
      </c>
      <c r="B4" s="1" t="s">
        <v>4</v>
      </c>
      <c r="C4" s="2" t="s">
        <v>41</v>
      </c>
      <c r="D4" s="13">
        <v>0</v>
      </c>
      <c r="E4" s="13"/>
      <c r="F4" s="6">
        <f t="shared" si="0"/>
        <v>0</v>
      </c>
      <c r="G4" s="13">
        <v>0</v>
      </c>
      <c r="H4" s="3">
        <f t="shared" si="1"/>
        <v>0</v>
      </c>
    </row>
    <row r="5" spans="1:8" x14ac:dyDescent="0.25">
      <c r="A5" s="1" t="s">
        <v>3</v>
      </c>
      <c r="B5" s="1" t="s">
        <v>4</v>
      </c>
      <c r="C5" s="2" t="s">
        <v>42</v>
      </c>
      <c r="D5" s="13">
        <v>12</v>
      </c>
      <c r="E5" s="13"/>
      <c r="F5" s="6">
        <f t="shared" si="0"/>
        <v>8</v>
      </c>
      <c r="G5" s="13">
        <v>7</v>
      </c>
      <c r="H5" s="3">
        <f t="shared" si="1"/>
        <v>7.5</v>
      </c>
    </row>
    <row r="6" spans="1:8" x14ac:dyDescent="0.25">
      <c r="A6" s="1" t="s">
        <v>3</v>
      </c>
      <c r="B6" s="1" t="s">
        <v>4</v>
      </c>
      <c r="C6" s="2" t="s">
        <v>43</v>
      </c>
      <c r="D6" s="13">
        <v>15</v>
      </c>
      <c r="E6" s="13"/>
      <c r="F6" s="6">
        <f t="shared" si="0"/>
        <v>11</v>
      </c>
      <c r="G6" s="13">
        <v>4</v>
      </c>
      <c r="H6" s="3">
        <f t="shared" si="1"/>
        <v>7.5</v>
      </c>
    </row>
    <row r="7" spans="1:8" x14ac:dyDescent="0.25">
      <c r="A7" s="1" t="s">
        <v>3</v>
      </c>
      <c r="B7" s="1" t="s">
        <v>4</v>
      </c>
      <c r="C7" s="2" t="s">
        <v>44</v>
      </c>
      <c r="D7" s="13">
        <v>16</v>
      </c>
      <c r="E7" s="13"/>
      <c r="F7" s="6">
        <f t="shared" si="0"/>
        <v>11</v>
      </c>
      <c r="G7" s="13">
        <v>4</v>
      </c>
      <c r="H7" s="3">
        <f t="shared" si="1"/>
        <v>7.5</v>
      </c>
    </row>
    <row r="8" spans="1:8" x14ac:dyDescent="0.25">
      <c r="C8" s="2" t="s">
        <v>45</v>
      </c>
      <c r="D8" s="13">
        <v>20</v>
      </c>
      <c r="E8" s="13"/>
      <c r="F8" s="6">
        <f>IFERROR(ROUND(D8*0.7+E8*0.3,0),"")</f>
        <v>14</v>
      </c>
      <c r="G8" s="13">
        <v>14</v>
      </c>
      <c r="H8" s="3">
        <f t="shared" si="1"/>
        <v>14</v>
      </c>
    </row>
    <row r="9" spans="1:8" x14ac:dyDescent="0.25">
      <c r="C9" s="2" t="s">
        <v>46</v>
      </c>
      <c r="D9" s="13">
        <v>5</v>
      </c>
      <c r="E9" s="13"/>
      <c r="F9" s="6">
        <f t="shared" si="0"/>
        <v>4</v>
      </c>
      <c r="G9" s="13">
        <v>9</v>
      </c>
      <c r="H9" s="3">
        <f t="shared" si="1"/>
        <v>6.5</v>
      </c>
    </row>
    <row r="10" spans="1:8" x14ac:dyDescent="0.25">
      <c r="C10" s="2" t="s">
        <v>47</v>
      </c>
      <c r="D10" s="13">
        <v>12</v>
      </c>
      <c r="E10" s="13"/>
      <c r="F10" s="6">
        <f t="shared" si="0"/>
        <v>8</v>
      </c>
      <c r="G10" s="13">
        <v>3</v>
      </c>
      <c r="H10" s="3">
        <f t="shared" si="1"/>
        <v>5.5</v>
      </c>
    </row>
    <row r="11" spans="1:8" x14ac:dyDescent="0.25">
      <c r="C11" s="2" t="s">
        <v>48</v>
      </c>
      <c r="D11" s="13">
        <v>12</v>
      </c>
      <c r="E11" s="13"/>
      <c r="F11" s="6">
        <f t="shared" si="0"/>
        <v>8</v>
      </c>
      <c r="G11" s="13">
        <v>5</v>
      </c>
      <c r="H11" s="3">
        <f t="shared" si="1"/>
        <v>6.5</v>
      </c>
    </row>
    <row r="12" spans="1:8" x14ac:dyDescent="0.25">
      <c r="C12" s="2" t="s">
        <v>49</v>
      </c>
      <c r="D12" s="13">
        <v>14</v>
      </c>
      <c r="E12" s="13"/>
      <c r="F12" s="6">
        <f t="shared" si="0"/>
        <v>10</v>
      </c>
      <c r="G12" s="13">
        <v>4</v>
      </c>
      <c r="H12" s="3">
        <f t="shared" si="1"/>
        <v>7</v>
      </c>
    </row>
    <row r="13" spans="1:8" x14ac:dyDescent="0.25">
      <c r="C13" s="2" t="s">
        <v>50</v>
      </c>
      <c r="D13" s="13">
        <v>3</v>
      </c>
      <c r="E13" s="13"/>
      <c r="F13" s="6">
        <f t="shared" si="0"/>
        <v>2</v>
      </c>
      <c r="G13" s="13">
        <v>11</v>
      </c>
      <c r="H13" s="3">
        <f t="shared" si="1"/>
        <v>6.5</v>
      </c>
    </row>
    <row r="14" spans="1:8" x14ac:dyDescent="0.25">
      <c r="C14" s="2" t="s">
        <v>51</v>
      </c>
      <c r="D14" s="13">
        <v>18</v>
      </c>
      <c r="E14" s="13"/>
      <c r="F14" s="6">
        <f t="shared" si="0"/>
        <v>13</v>
      </c>
      <c r="G14" s="13">
        <v>0</v>
      </c>
      <c r="H14" s="3">
        <f t="shared" si="1"/>
        <v>6.5</v>
      </c>
    </row>
    <row r="15" spans="1:8" x14ac:dyDescent="0.25">
      <c r="C15" s="2" t="s">
        <v>52</v>
      </c>
      <c r="D15" s="13">
        <v>15</v>
      </c>
      <c r="E15" s="13"/>
      <c r="F15" s="6">
        <f t="shared" si="0"/>
        <v>11</v>
      </c>
      <c r="G15" s="13">
        <v>3</v>
      </c>
      <c r="H15" s="3">
        <f t="shared" si="1"/>
        <v>7</v>
      </c>
    </row>
    <row r="16" spans="1:8" x14ac:dyDescent="0.25">
      <c r="C16" s="2" t="s">
        <v>53</v>
      </c>
      <c r="D16" s="13">
        <v>12</v>
      </c>
      <c r="E16" s="13"/>
      <c r="F16" s="6">
        <f t="shared" si="0"/>
        <v>8</v>
      </c>
      <c r="G16" s="13">
        <v>5</v>
      </c>
      <c r="H16" s="3">
        <f t="shared" si="1"/>
        <v>6.5</v>
      </c>
    </row>
    <row r="17" spans="3:8" x14ac:dyDescent="0.25">
      <c r="C17" s="2" t="s">
        <v>54</v>
      </c>
      <c r="D17" s="13">
        <v>17</v>
      </c>
      <c r="E17" s="13"/>
      <c r="F17" s="6">
        <f t="shared" si="0"/>
        <v>12</v>
      </c>
      <c r="G17" s="13">
        <v>19</v>
      </c>
      <c r="H17" s="3">
        <f t="shared" si="1"/>
        <v>15.5</v>
      </c>
    </row>
    <row r="18" spans="3:8" x14ac:dyDescent="0.25">
      <c r="C18" s="2" t="s">
        <v>55</v>
      </c>
      <c r="D18" s="13">
        <v>14</v>
      </c>
      <c r="E18" s="13"/>
      <c r="F18" s="6">
        <f t="shared" si="0"/>
        <v>10</v>
      </c>
      <c r="G18" s="13">
        <v>13</v>
      </c>
      <c r="H18" s="3">
        <f t="shared" si="1"/>
        <v>11.5</v>
      </c>
    </row>
    <row r="19" spans="3:8" x14ac:dyDescent="0.25">
      <c r="C19" s="2" t="s">
        <v>56</v>
      </c>
      <c r="D19" s="2">
        <v>18</v>
      </c>
      <c r="E19" s="2"/>
      <c r="F19" s="6">
        <f t="shared" si="0"/>
        <v>13</v>
      </c>
      <c r="G19" s="2">
        <v>13</v>
      </c>
      <c r="H19" s="3">
        <f t="shared" si="1"/>
        <v>13</v>
      </c>
    </row>
    <row r="20" spans="3:8" x14ac:dyDescent="0.25">
      <c r="C20" s="2" t="s">
        <v>57</v>
      </c>
      <c r="D20" s="2">
        <v>18</v>
      </c>
      <c r="E20" s="2"/>
      <c r="F20" s="6">
        <f t="shared" si="0"/>
        <v>13</v>
      </c>
      <c r="G20" s="2">
        <v>8</v>
      </c>
      <c r="H20" s="3">
        <f t="shared" si="1"/>
        <v>10.5</v>
      </c>
    </row>
    <row r="21" spans="3:8" x14ac:dyDescent="0.25">
      <c r="C21" s="2" t="s">
        <v>58</v>
      </c>
      <c r="D21" s="2">
        <v>20</v>
      </c>
      <c r="E21" s="2"/>
      <c r="F21" s="6">
        <f t="shared" si="0"/>
        <v>14</v>
      </c>
      <c r="G21" s="2">
        <v>18</v>
      </c>
      <c r="H21" s="3">
        <f t="shared" si="1"/>
        <v>16</v>
      </c>
    </row>
    <row r="22" spans="3:8" x14ac:dyDescent="0.25">
      <c r="C22" s="2" t="s">
        <v>59</v>
      </c>
      <c r="D22" s="2">
        <v>10</v>
      </c>
      <c r="E22" s="2"/>
      <c r="F22" s="6">
        <f t="shared" si="0"/>
        <v>7</v>
      </c>
      <c r="G22" s="2">
        <v>10</v>
      </c>
      <c r="H22" s="3">
        <f t="shared" si="1"/>
        <v>8.5</v>
      </c>
    </row>
    <row r="23" spans="3:8" x14ac:dyDescent="0.25">
      <c r="C23" s="2" t="s">
        <v>60</v>
      </c>
      <c r="D23" s="2">
        <v>15</v>
      </c>
      <c r="E23" s="2"/>
      <c r="F23" s="6">
        <f t="shared" si="0"/>
        <v>11</v>
      </c>
      <c r="G23" s="2">
        <v>3</v>
      </c>
      <c r="H23" s="3">
        <f t="shared" si="1"/>
        <v>7</v>
      </c>
    </row>
    <row r="24" spans="3:8" x14ac:dyDescent="0.25">
      <c r="C24" s="2" t="s">
        <v>61</v>
      </c>
      <c r="D24" s="2">
        <v>9</v>
      </c>
      <c r="E24" s="2"/>
      <c r="F24" s="6">
        <f t="shared" si="0"/>
        <v>6</v>
      </c>
      <c r="G24" s="2">
        <v>3</v>
      </c>
      <c r="H24" s="3">
        <f t="shared" si="1"/>
        <v>4.5</v>
      </c>
    </row>
    <row r="25" spans="3:8" x14ac:dyDescent="0.25">
      <c r="C25" s="2" t="s">
        <v>62</v>
      </c>
      <c r="D25" s="2">
        <v>14</v>
      </c>
      <c r="E25" s="2"/>
      <c r="F25" s="6">
        <f t="shared" si="0"/>
        <v>10</v>
      </c>
      <c r="G25" s="2">
        <v>2</v>
      </c>
      <c r="H25" s="3">
        <f t="shared" si="1"/>
        <v>6</v>
      </c>
    </row>
    <row r="26" spans="3:8" x14ac:dyDescent="0.25">
      <c r="C26" s="2"/>
      <c r="D26" s="2"/>
      <c r="E26" s="2"/>
      <c r="F26" s="6">
        <f t="shared" si="0"/>
        <v>0</v>
      </c>
      <c r="G26" s="2"/>
      <c r="H26" s="3">
        <f t="shared" si="1"/>
        <v>0</v>
      </c>
    </row>
    <row r="27" spans="3:8" x14ac:dyDescent="0.25">
      <c r="C27" s="2"/>
      <c r="D27" s="2"/>
      <c r="E27" s="2"/>
      <c r="F27" s="6">
        <f t="shared" si="0"/>
        <v>0</v>
      </c>
      <c r="G27" s="2"/>
      <c r="H27" s="3">
        <f t="shared" si="1"/>
        <v>0</v>
      </c>
    </row>
    <row r="28" spans="3:8" x14ac:dyDescent="0.25">
      <c r="C28" s="2"/>
      <c r="D28" s="2"/>
      <c r="E28" s="2"/>
      <c r="F28" s="6">
        <f t="shared" si="0"/>
        <v>0</v>
      </c>
      <c r="G28" s="2"/>
      <c r="H28" s="3">
        <f t="shared" si="1"/>
        <v>0</v>
      </c>
    </row>
    <row r="29" spans="3:8" x14ac:dyDescent="0.25">
      <c r="C29" s="2"/>
      <c r="D29" s="2"/>
      <c r="E29" s="2"/>
      <c r="F29" s="6">
        <f t="shared" si="0"/>
        <v>0</v>
      </c>
      <c r="G29" s="2"/>
      <c r="H29" s="3">
        <f t="shared" si="1"/>
        <v>0</v>
      </c>
    </row>
    <row r="30" spans="3:8" x14ac:dyDescent="0.25">
      <c r="C30" s="2"/>
      <c r="D30" s="2"/>
      <c r="E30" s="2"/>
      <c r="F30" s="6">
        <f t="shared" si="0"/>
        <v>0</v>
      </c>
      <c r="G30" s="2"/>
      <c r="H30" s="3">
        <f t="shared" si="1"/>
        <v>0</v>
      </c>
    </row>
    <row r="31" spans="3:8" x14ac:dyDescent="0.25">
      <c r="C31" s="2"/>
      <c r="D31" s="2"/>
      <c r="E31" s="2"/>
      <c r="F31" s="6">
        <f t="shared" si="0"/>
        <v>0</v>
      </c>
      <c r="G31" s="2"/>
      <c r="H31" s="3">
        <f t="shared" si="1"/>
        <v>0</v>
      </c>
    </row>
    <row r="32" spans="3:8" x14ac:dyDescent="0.25">
      <c r="C32" s="2"/>
      <c r="D32" s="2"/>
      <c r="E32" s="2"/>
      <c r="F32" s="6">
        <f t="shared" si="0"/>
        <v>0</v>
      </c>
      <c r="G32" s="2"/>
      <c r="H32" s="3">
        <f t="shared" si="1"/>
        <v>0</v>
      </c>
    </row>
    <row r="33" spans="3:8" x14ac:dyDescent="0.25">
      <c r="C33" s="2"/>
      <c r="D33" s="2"/>
      <c r="E33" s="2"/>
      <c r="F33" s="6">
        <f t="shared" si="0"/>
        <v>0</v>
      </c>
      <c r="G33" s="2"/>
      <c r="H33" s="3">
        <f t="shared" si="1"/>
        <v>0</v>
      </c>
    </row>
    <row r="34" spans="3:8" x14ac:dyDescent="0.25">
      <c r="C34" s="2"/>
      <c r="D34" s="2"/>
      <c r="E34" s="2"/>
      <c r="F34" s="6">
        <f t="shared" si="0"/>
        <v>0</v>
      </c>
      <c r="G34" s="2"/>
      <c r="H34" s="3">
        <f t="shared" si="1"/>
        <v>0</v>
      </c>
    </row>
    <row r="35" spans="3:8" x14ac:dyDescent="0.25">
      <c r="C35" s="2"/>
      <c r="D35" s="2"/>
      <c r="E35" s="2"/>
      <c r="F35" s="6">
        <f t="shared" si="0"/>
        <v>0</v>
      </c>
      <c r="G35" s="2"/>
      <c r="H35" s="3">
        <f t="shared" si="1"/>
        <v>0</v>
      </c>
    </row>
    <row r="36" spans="3:8" x14ac:dyDescent="0.25">
      <c r="C36" s="2"/>
      <c r="D36" s="2"/>
      <c r="E36" s="2"/>
      <c r="F36" s="6">
        <f t="shared" si="0"/>
        <v>0</v>
      </c>
      <c r="G36" s="2"/>
      <c r="H36" s="3">
        <f t="shared" si="1"/>
        <v>0</v>
      </c>
    </row>
    <row r="37" spans="3:8" x14ac:dyDescent="0.25">
      <c r="C37" s="2"/>
      <c r="D37" s="2"/>
      <c r="E37" s="2"/>
      <c r="F37" s="6">
        <f t="shared" si="0"/>
        <v>0</v>
      </c>
      <c r="G37" s="2"/>
      <c r="H37" s="3">
        <f t="shared" si="1"/>
        <v>0</v>
      </c>
    </row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x14ac:dyDescent="0.25"/>
  </sheetData>
  <mergeCells count="2">
    <mergeCell ref="D1:G1"/>
    <mergeCell ref="H1:H2"/>
  </mergeCells>
  <conditionalFormatting sqref="I1:J2 D3:J1048576">
    <cfRule type="cellIs" dxfId="13" priority="3" operator="lessThan">
      <formula>11</formula>
    </cfRule>
  </conditionalFormatting>
  <conditionalFormatting sqref="H3:H37">
    <cfRule type="cellIs" dxfId="12" priority="1" operator="lessThan">
      <formula>10.5</formula>
    </cfRule>
    <cfRule type="cellIs" dxfId="11" priority="2" operator="greaterThan">
      <formula>10.49</formula>
    </cfRule>
  </conditionalFormatting>
  <conditionalFormatting sqref="I1:J2 D3:J1048576">
    <cfRule type="cellIs" dxfId="10" priority="4" operator="greaterThan">
      <formula>10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3"/>
  <sheetViews>
    <sheetView workbookViewId="0">
      <selection activeCell="A2" sqref="A2:A24"/>
    </sheetView>
  </sheetViews>
  <sheetFormatPr baseColWidth="10" defaultRowHeight="15" x14ac:dyDescent="0.25"/>
  <cols>
    <col min="1" max="1" width="44.140625" bestFit="1" customWidth="1"/>
    <col min="4" max="4" width="15.28515625" bestFit="1" customWidth="1"/>
    <col min="5" max="7" width="15.28515625" customWidth="1"/>
    <col min="8" max="8" width="13" customWidth="1"/>
    <col min="9" max="9" width="15.28515625" customWidth="1"/>
    <col min="10" max="11" width="13" customWidth="1"/>
    <col min="12" max="12" width="12.7109375" bestFit="1" customWidth="1"/>
  </cols>
  <sheetData>
    <row r="1" spans="1:13" ht="105" x14ac:dyDescent="0.25">
      <c r="A1" s="2" t="s">
        <v>14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8" t="s">
        <v>19</v>
      </c>
      <c r="H1" s="10" t="s">
        <v>36</v>
      </c>
      <c r="I1" s="10" t="s">
        <v>37</v>
      </c>
      <c r="J1" s="10" t="s">
        <v>38</v>
      </c>
      <c r="K1" s="20" t="s">
        <v>20</v>
      </c>
      <c r="L1" s="21" t="s">
        <v>17</v>
      </c>
      <c r="M1" s="8" t="s">
        <v>16</v>
      </c>
    </row>
    <row r="2" spans="1:13" x14ac:dyDescent="0.25">
      <c r="A2" s="2" t="s">
        <v>63</v>
      </c>
      <c r="B2" s="2"/>
      <c r="C2" s="2"/>
      <c r="D2" s="2"/>
      <c r="E2" s="2"/>
      <c r="F2" s="2"/>
      <c r="G2" s="19" t="str">
        <f>IFERROR(ROUND(AVERAGE(B2:F2),0)," ")</f>
        <v xml:space="preserve"> </v>
      </c>
      <c r="H2" s="2"/>
      <c r="I2" s="2"/>
      <c r="J2" s="2"/>
      <c r="K2" s="5" t="str">
        <f>IFERROR(ROUND(AVERAGE(H2:J2),0)," ")</f>
        <v xml:space="preserve"> </v>
      </c>
      <c r="L2" s="22" t="str">
        <f>IFERROR(ROUND(G2*0.3+K2*0.7,0)," ")</f>
        <v xml:space="preserve"> </v>
      </c>
      <c r="M2" s="3" t="str">
        <f>IFERROR(ROUND(L2*0.2,0),"")</f>
        <v/>
      </c>
    </row>
    <row r="3" spans="1:13" x14ac:dyDescent="0.25">
      <c r="A3" s="2" t="s">
        <v>41</v>
      </c>
      <c r="B3" s="2"/>
      <c r="C3" s="2"/>
      <c r="D3" s="2"/>
      <c r="E3" s="2"/>
      <c r="F3" s="2"/>
      <c r="G3" s="19" t="str">
        <f t="shared" ref="G3:G43" si="0">IFERROR(AVERAGE(B3:F3)," ")</f>
        <v xml:space="preserve"> </v>
      </c>
      <c r="H3" s="2"/>
      <c r="I3" s="2"/>
      <c r="J3" s="2"/>
      <c r="K3" s="5" t="str">
        <f t="shared" ref="K3:K43" si="1">IFERROR(AVERAGE(H3:J3)," ")</f>
        <v xml:space="preserve"> </v>
      </c>
      <c r="L3" s="22" t="str">
        <f t="shared" ref="L3:L43" si="2">IFERROR(ROUND(G3*0.3+K3*0.7,0)," ")</f>
        <v xml:space="preserve"> </v>
      </c>
      <c r="M3" s="3" t="str">
        <f t="shared" ref="M3:M43" si="3">IFERROR(ROUND(L3*0.2,0),"")</f>
        <v/>
      </c>
    </row>
    <row r="4" spans="1:13" x14ac:dyDescent="0.25">
      <c r="A4" s="2" t="s">
        <v>42</v>
      </c>
      <c r="B4" s="2"/>
      <c r="C4" s="2"/>
      <c r="D4" s="2"/>
      <c r="E4" s="2"/>
      <c r="F4" s="2"/>
      <c r="G4" s="19" t="str">
        <f t="shared" si="0"/>
        <v xml:space="preserve"> </v>
      </c>
      <c r="H4" s="2"/>
      <c r="I4" s="2"/>
      <c r="J4" s="2"/>
      <c r="K4" s="5" t="str">
        <f t="shared" si="1"/>
        <v xml:space="preserve"> </v>
      </c>
      <c r="L4" s="22" t="str">
        <f t="shared" si="2"/>
        <v xml:space="preserve"> </v>
      </c>
      <c r="M4" s="3" t="str">
        <f t="shared" si="3"/>
        <v/>
      </c>
    </row>
    <row r="5" spans="1:13" x14ac:dyDescent="0.25">
      <c r="A5" s="2" t="s">
        <v>43</v>
      </c>
      <c r="B5" s="2"/>
      <c r="C5" s="2"/>
      <c r="D5" s="2"/>
      <c r="E5" s="2"/>
      <c r="F5" s="2"/>
      <c r="G5" s="19" t="str">
        <f t="shared" si="0"/>
        <v xml:space="preserve"> </v>
      </c>
      <c r="H5" s="2"/>
      <c r="I5" s="2"/>
      <c r="J5" s="2"/>
      <c r="K5" s="5" t="str">
        <f t="shared" si="1"/>
        <v xml:space="preserve"> </v>
      </c>
      <c r="L5" s="22" t="str">
        <f t="shared" si="2"/>
        <v xml:space="preserve"> </v>
      </c>
      <c r="M5" s="3" t="str">
        <f t="shared" si="3"/>
        <v/>
      </c>
    </row>
    <row r="6" spans="1:13" x14ac:dyDescent="0.25">
      <c r="A6" s="2" t="s">
        <v>44</v>
      </c>
      <c r="B6" s="2"/>
      <c r="C6" s="2"/>
      <c r="D6" s="2"/>
      <c r="E6" s="2"/>
      <c r="F6" s="2"/>
      <c r="G6" s="19" t="str">
        <f t="shared" si="0"/>
        <v xml:space="preserve"> </v>
      </c>
      <c r="H6" s="2"/>
      <c r="I6" s="2"/>
      <c r="J6" s="2"/>
      <c r="K6" s="5" t="str">
        <f t="shared" si="1"/>
        <v xml:space="preserve"> </v>
      </c>
      <c r="L6" s="22" t="str">
        <f t="shared" si="2"/>
        <v xml:space="preserve"> </v>
      </c>
      <c r="M6" s="3" t="str">
        <f t="shared" si="3"/>
        <v/>
      </c>
    </row>
    <row r="7" spans="1:13" x14ac:dyDescent="0.25">
      <c r="A7" s="2" t="s">
        <v>45</v>
      </c>
      <c r="B7" s="2"/>
      <c r="C7" s="2"/>
      <c r="D7" s="2"/>
      <c r="E7" s="2"/>
      <c r="F7" s="2"/>
      <c r="G7" s="19" t="str">
        <f t="shared" si="0"/>
        <v xml:space="preserve"> </v>
      </c>
      <c r="H7" s="2"/>
      <c r="I7" s="2"/>
      <c r="J7" s="2"/>
      <c r="K7" s="5" t="str">
        <f t="shared" si="1"/>
        <v xml:space="preserve"> </v>
      </c>
      <c r="L7" s="22" t="str">
        <f t="shared" si="2"/>
        <v xml:space="preserve"> </v>
      </c>
      <c r="M7" s="3" t="str">
        <f t="shared" si="3"/>
        <v/>
      </c>
    </row>
    <row r="8" spans="1:13" x14ac:dyDescent="0.25">
      <c r="A8" s="2" t="s">
        <v>46</v>
      </c>
      <c r="B8" s="2"/>
      <c r="C8" s="2"/>
      <c r="D8" s="2"/>
      <c r="E8" s="2"/>
      <c r="F8" s="2"/>
      <c r="G8" s="19" t="str">
        <f t="shared" si="0"/>
        <v xml:space="preserve"> </v>
      </c>
      <c r="H8" s="2"/>
      <c r="I8" s="2"/>
      <c r="J8" s="2"/>
      <c r="K8" s="5" t="str">
        <f t="shared" si="1"/>
        <v xml:space="preserve"> </v>
      </c>
      <c r="L8" s="22" t="str">
        <f t="shared" si="2"/>
        <v xml:space="preserve"> </v>
      </c>
      <c r="M8" s="3" t="str">
        <f t="shared" si="3"/>
        <v/>
      </c>
    </row>
    <row r="9" spans="1:13" x14ac:dyDescent="0.25">
      <c r="A9" s="2" t="s">
        <v>47</v>
      </c>
      <c r="B9" s="2"/>
      <c r="C9" s="2"/>
      <c r="D9" s="2"/>
      <c r="E9" s="2"/>
      <c r="F9" s="2"/>
      <c r="G9" s="19" t="str">
        <f t="shared" si="0"/>
        <v xml:space="preserve"> </v>
      </c>
      <c r="H9" s="2"/>
      <c r="I9" s="2"/>
      <c r="J9" s="2"/>
      <c r="K9" s="5" t="str">
        <f t="shared" si="1"/>
        <v xml:space="preserve"> </v>
      </c>
      <c r="L9" s="22" t="str">
        <f t="shared" si="2"/>
        <v xml:space="preserve"> </v>
      </c>
      <c r="M9" s="3" t="str">
        <f t="shared" si="3"/>
        <v/>
      </c>
    </row>
    <row r="10" spans="1:13" x14ac:dyDescent="0.25">
      <c r="A10" s="2" t="s">
        <v>48</v>
      </c>
      <c r="B10" s="2"/>
      <c r="C10" s="2"/>
      <c r="D10" s="2"/>
      <c r="E10" s="2"/>
      <c r="F10" s="2"/>
      <c r="G10" s="19" t="str">
        <f t="shared" si="0"/>
        <v xml:space="preserve"> </v>
      </c>
      <c r="H10" s="2"/>
      <c r="I10" s="2"/>
      <c r="J10" s="2"/>
      <c r="K10" s="5" t="str">
        <f t="shared" si="1"/>
        <v xml:space="preserve"> </v>
      </c>
      <c r="L10" s="22" t="str">
        <f t="shared" si="2"/>
        <v xml:space="preserve"> </v>
      </c>
      <c r="M10" s="3" t="str">
        <f t="shared" si="3"/>
        <v/>
      </c>
    </row>
    <row r="11" spans="1:13" x14ac:dyDescent="0.25">
      <c r="A11" s="2" t="s">
        <v>49</v>
      </c>
      <c r="B11" s="2"/>
      <c r="C11" s="2"/>
      <c r="D11" s="2"/>
      <c r="E11" s="2"/>
      <c r="F11" s="2"/>
      <c r="G11" s="19" t="str">
        <f t="shared" si="0"/>
        <v xml:space="preserve"> </v>
      </c>
      <c r="H11" s="2"/>
      <c r="I11" s="2"/>
      <c r="J11" s="2"/>
      <c r="K11" s="5" t="str">
        <f t="shared" si="1"/>
        <v xml:space="preserve"> </v>
      </c>
      <c r="L11" s="22" t="str">
        <f t="shared" si="2"/>
        <v xml:space="preserve"> </v>
      </c>
      <c r="M11" s="3" t="str">
        <f t="shared" si="3"/>
        <v/>
      </c>
    </row>
    <row r="12" spans="1:13" x14ac:dyDescent="0.25">
      <c r="A12" s="2" t="s">
        <v>50</v>
      </c>
      <c r="B12" s="2"/>
      <c r="C12" s="2"/>
      <c r="D12" s="2"/>
      <c r="E12" s="2"/>
      <c r="F12" s="2"/>
      <c r="G12" s="19" t="str">
        <f t="shared" si="0"/>
        <v xml:space="preserve"> </v>
      </c>
      <c r="H12" s="2"/>
      <c r="I12" s="2"/>
      <c r="J12" s="2"/>
      <c r="K12" s="5" t="str">
        <f t="shared" si="1"/>
        <v xml:space="preserve"> </v>
      </c>
      <c r="L12" s="22" t="str">
        <f t="shared" si="2"/>
        <v xml:space="preserve"> </v>
      </c>
      <c r="M12" s="3" t="str">
        <f t="shared" si="3"/>
        <v/>
      </c>
    </row>
    <row r="13" spans="1:13" x14ac:dyDescent="0.25">
      <c r="A13" s="2" t="s">
        <v>51</v>
      </c>
      <c r="B13" s="2"/>
      <c r="C13" s="2"/>
      <c r="D13" s="2"/>
      <c r="E13" s="2"/>
      <c r="F13" s="2"/>
      <c r="G13" s="19" t="str">
        <f t="shared" si="0"/>
        <v xml:space="preserve"> </v>
      </c>
      <c r="H13" s="2"/>
      <c r="I13" s="2"/>
      <c r="J13" s="2"/>
      <c r="K13" s="5" t="str">
        <f t="shared" si="1"/>
        <v xml:space="preserve"> </v>
      </c>
      <c r="L13" s="22" t="str">
        <f t="shared" si="2"/>
        <v xml:space="preserve"> </v>
      </c>
      <c r="M13" s="3" t="str">
        <f t="shared" si="3"/>
        <v/>
      </c>
    </row>
    <row r="14" spans="1:13" x14ac:dyDescent="0.25">
      <c r="A14" s="2" t="s">
        <v>52</v>
      </c>
      <c r="B14" s="2"/>
      <c r="C14" s="2"/>
      <c r="D14" s="2"/>
      <c r="E14" s="2"/>
      <c r="F14" s="2"/>
      <c r="G14" s="19" t="str">
        <f t="shared" si="0"/>
        <v xml:space="preserve"> </v>
      </c>
      <c r="H14" s="2"/>
      <c r="I14" s="2"/>
      <c r="J14" s="2"/>
      <c r="K14" s="5" t="str">
        <f t="shared" si="1"/>
        <v xml:space="preserve"> </v>
      </c>
      <c r="L14" s="22" t="str">
        <f t="shared" si="2"/>
        <v xml:space="preserve"> </v>
      </c>
      <c r="M14" s="3" t="str">
        <f t="shared" si="3"/>
        <v/>
      </c>
    </row>
    <row r="15" spans="1:13" x14ac:dyDescent="0.25">
      <c r="A15" s="2" t="s">
        <v>53</v>
      </c>
      <c r="B15" s="2"/>
      <c r="C15" s="2"/>
      <c r="D15" s="2"/>
      <c r="E15" s="2"/>
      <c r="F15" s="2"/>
      <c r="G15" s="19" t="str">
        <f t="shared" si="0"/>
        <v xml:space="preserve"> </v>
      </c>
      <c r="H15" s="2"/>
      <c r="I15" s="2"/>
      <c r="J15" s="2"/>
      <c r="K15" s="5" t="str">
        <f t="shared" si="1"/>
        <v xml:space="preserve"> </v>
      </c>
      <c r="L15" s="22" t="str">
        <f t="shared" si="2"/>
        <v xml:space="preserve"> </v>
      </c>
      <c r="M15" s="3" t="str">
        <f t="shared" si="3"/>
        <v/>
      </c>
    </row>
    <row r="16" spans="1:13" x14ac:dyDescent="0.25">
      <c r="A16" s="16" t="s">
        <v>54</v>
      </c>
      <c r="B16" s="2"/>
      <c r="C16" s="2"/>
      <c r="D16" s="2"/>
      <c r="E16" s="2"/>
      <c r="F16" s="2"/>
      <c r="G16" s="19" t="str">
        <f t="shared" si="0"/>
        <v xml:space="preserve"> </v>
      </c>
      <c r="H16" s="2"/>
      <c r="I16" s="2"/>
      <c r="J16" s="2"/>
      <c r="K16" s="5" t="str">
        <f t="shared" si="1"/>
        <v xml:space="preserve"> </v>
      </c>
      <c r="L16" s="22" t="str">
        <f t="shared" si="2"/>
        <v xml:space="preserve"> </v>
      </c>
      <c r="M16" s="3" t="str">
        <f t="shared" si="3"/>
        <v/>
      </c>
    </row>
    <row r="17" spans="1:13" x14ac:dyDescent="0.25">
      <c r="A17" s="16" t="s">
        <v>55</v>
      </c>
      <c r="B17" s="2"/>
      <c r="C17" s="2"/>
      <c r="D17" s="2"/>
      <c r="E17" s="2"/>
      <c r="F17" s="2"/>
      <c r="G17" s="19" t="str">
        <f t="shared" si="0"/>
        <v xml:space="preserve"> </v>
      </c>
      <c r="H17" s="2"/>
      <c r="I17" s="2"/>
      <c r="J17" s="2"/>
      <c r="K17" s="5" t="str">
        <f t="shared" si="1"/>
        <v xml:space="preserve"> </v>
      </c>
      <c r="L17" s="22" t="str">
        <f t="shared" si="2"/>
        <v xml:space="preserve"> </v>
      </c>
      <c r="M17" s="3" t="str">
        <f t="shared" si="3"/>
        <v/>
      </c>
    </row>
    <row r="18" spans="1:13" x14ac:dyDescent="0.25">
      <c r="A18" s="16" t="s">
        <v>56</v>
      </c>
      <c r="B18" s="2"/>
      <c r="C18" s="2"/>
      <c r="D18" s="2"/>
      <c r="E18" s="2"/>
      <c r="F18" s="2"/>
      <c r="G18" s="19" t="str">
        <f t="shared" si="0"/>
        <v xml:space="preserve"> </v>
      </c>
      <c r="H18" s="2"/>
      <c r="I18" s="2"/>
      <c r="J18" s="2"/>
      <c r="K18" s="5" t="str">
        <f t="shared" si="1"/>
        <v xml:space="preserve"> </v>
      </c>
      <c r="L18" s="22" t="str">
        <f t="shared" si="2"/>
        <v xml:space="preserve"> </v>
      </c>
      <c r="M18" s="3" t="str">
        <f t="shared" si="3"/>
        <v/>
      </c>
    </row>
    <row r="19" spans="1:13" x14ac:dyDescent="0.25">
      <c r="A19" s="16" t="s">
        <v>57</v>
      </c>
      <c r="B19" s="2"/>
      <c r="C19" s="2"/>
      <c r="D19" s="2"/>
      <c r="E19" s="2"/>
      <c r="F19" s="2"/>
      <c r="G19" s="19" t="str">
        <f t="shared" si="0"/>
        <v xml:space="preserve"> </v>
      </c>
      <c r="H19" s="2"/>
      <c r="I19" s="2"/>
      <c r="J19" s="2"/>
      <c r="K19" s="5" t="str">
        <f t="shared" si="1"/>
        <v xml:space="preserve"> </v>
      </c>
      <c r="L19" s="22" t="str">
        <f t="shared" si="2"/>
        <v xml:space="preserve"> </v>
      </c>
      <c r="M19" s="3" t="str">
        <f t="shared" si="3"/>
        <v/>
      </c>
    </row>
    <row r="20" spans="1:13" x14ac:dyDescent="0.25">
      <c r="A20" s="16" t="s">
        <v>58</v>
      </c>
      <c r="B20" s="2"/>
      <c r="C20" s="2"/>
      <c r="D20" s="2"/>
      <c r="E20" s="2"/>
      <c r="F20" s="2"/>
      <c r="G20" s="19" t="str">
        <f t="shared" si="0"/>
        <v xml:space="preserve"> </v>
      </c>
      <c r="H20" s="2"/>
      <c r="I20" s="2"/>
      <c r="J20" s="2"/>
      <c r="K20" s="5" t="str">
        <f t="shared" si="1"/>
        <v xml:space="preserve"> </v>
      </c>
      <c r="L20" s="22" t="str">
        <f t="shared" si="2"/>
        <v xml:space="preserve"> </v>
      </c>
      <c r="M20" s="3" t="str">
        <f t="shared" si="3"/>
        <v/>
      </c>
    </row>
    <row r="21" spans="1:13" x14ac:dyDescent="0.25">
      <c r="A21" s="16" t="s">
        <v>59</v>
      </c>
      <c r="B21" s="2"/>
      <c r="C21" s="2"/>
      <c r="D21" s="2"/>
      <c r="E21" s="2"/>
      <c r="F21" s="2"/>
      <c r="G21" s="19" t="str">
        <f t="shared" si="0"/>
        <v xml:space="preserve"> </v>
      </c>
      <c r="H21" s="2"/>
      <c r="I21" s="2"/>
      <c r="J21" s="2"/>
      <c r="K21" s="5" t="str">
        <f t="shared" si="1"/>
        <v xml:space="preserve"> </v>
      </c>
      <c r="L21" s="22" t="str">
        <f t="shared" si="2"/>
        <v xml:space="preserve"> </v>
      </c>
      <c r="M21" s="3" t="str">
        <f t="shared" si="3"/>
        <v/>
      </c>
    </row>
    <row r="22" spans="1:13" x14ac:dyDescent="0.25">
      <c r="A22" s="16" t="s">
        <v>60</v>
      </c>
      <c r="B22" s="2"/>
      <c r="C22" s="2"/>
      <c r="D22" s="2"/>
      <c r="E22" s="2"/>
      <c r="F22" s="2"/>
      <c r="G22" s="19" t="str">
        <f t="shared" si="0"/>
        <v xml:space="preserve"> </v>
      </c>
      <c r="H22" s="2"/>
      <c r="I22" s="2"/>
      <c r="J22" s="2"/>
      <c r="K22" s="5" t="str">
        <f t="shared" si="1"/>
        <v xml:space="preserve"> </v>
      </c>
      <c r="L22" s="22" t="str">
        <f t="shared" si="2"/>
        <v xml:space="preserve"> </v>
      </c>
      <c r="M22" s="3" t="str">
        <f t="shared" si="3"/>
        <v/>
      </c>
    </row>
    <row r="23" spans="1:13" x14ac:dyDescent="0.25">
      <c r="A23" s="16" t="s">
        <v>61</v>
      </c>
      <c r="B23" s="2"/>
      <c r="C23" s="2"/>
      <c r="D23" s="2"/>
      <c r="E23" s="2"/>
      <c r="F23" s="2"/>
      <c r="G23" s="19" t="str">
        <f t="shared" si="0"/>
        <v xml:space="preserve"> </v>
      </c>
      <c r="H23" s="2"/>
      <c r="I23" s="2"/>
      <c r="J23" s="2"/>
      <c r="K23" s="5" t="str">
        <f t="shared" si="1"/>
        <v xml:space="preserve"> </v>
      </c>
      <c r="L23" s="22" t="str">
        <f t="shared" si="2"/>
        <v xml:space="preserve"> </v>
      </c>
      <c r="M23" s="3" t="str">
        <f t="shared" si="3"/>
        <v/>
      </c>
    </row>
    <row r="24" spans="1:13" x14ac:dyDescent="0.25">
      <c r="A24" s="16" t="s">
        <v>62</v>
      </c>
      <c r="B24" s="2"/>
      <c r="C24" s="2"/>
      <c r="D24" s="2"/>
      <c r="E24" s="2"/>
      <c r="F24" s="2"/>
      <c r="G24" s="19" t="str">
        <f t="shared" si="0"/>
        <v xml:space="preserve"> </v>
      </c>
      <c r="H24" s="2"/>
      <c r="I24" s="2"/>
      <c r="J24" s="2"/>
      <c r="K24" s="5" t="str">
        <f t="shared" si="1"/>
        <v xml:space="preserve"> </v>
      </c>
      <c r="L24" s="22" t="str">
        <f t="shared" si="2"/>
        <v xml:space="preserve"> </v>
      </c>
      <c r="M24" s="3" t="str">
        <f t="shared" si="3"/>
        <v/>
      </c>
    </row>
    <row r="25" spans="1:13" x14ac:dyDescent="0.25">
      <c r="A25" s="16"/>
      <c r="B25" s="2"/>
      <c r="C25" s="2"/>
      <c r="D25" s="2"/>
      <c r="E25" s="2"/>
      <c r="F25" s="2"/>
      <c r="G25" s="19" t="str">
        <f t="shared" si="0"/>
        <v xml:space="preserve"> </v>
      </c>
      <c r="H25" s="2"/>
      <c r="I25" s="2"/>
      <c r="J25" s="2"/>
      <c r="K25" s="5" t="str">
        <f t="shared" si="1"/>
        <v xml:space="preserve"> </v>
      </c>
      <c r="L25" s="22" t="str">
        <f t="shared" si="2"/>
        <v xml:space="preserve"> </v>
      </c>
      <c r="M25" s="3" t="str">
        <f t="shared" si="3"/>
        <v/>
      </c>
    </row>
    <row r="26" spans="1:13" x14ac:dyDescent="0.25">
      <c r="A26" s="16"/>
      <c r="B26" s="2"/>
      <c r="C26" s="2"/>
      <c r="D26" s="2"/>
      <c r="E26" s="2"/>
      <c r="F26" s="2"/>
      <c r="G26" s="19" t="str">
        <f t="shared" si="0"/>
        <v xml:space="preserve"> </v>
      </c>
      <c r="H26" s="2"/>
      <c r="I26" s="2"/>
      <c r="J26" s="2"/>
      <c r="K26" s="5" t="str">
        <f t="shared" si="1"/>
        <v xml:space="preserve"> </v>
      </c>
      <c r="L26" s="22" t="str">
        <f t="shared" si="2"/>
        <v xml:space="preserve"> </v>
      </c>
      <c r="M26" s="3" t="str">
        <f t="shared" si="3"/>
        <v/>
      </c>
    </row>
    <row r="27" spans="1:13" x14ac:dyDescent="0.25">
      <c r="A27" s="16"/>
      <c r="B27" s="2"/>
      <c r="C27" s="2"/>
      <c r="D27" s="2"/>
      <c r="E27" s="2"/>
      <c r="F27" s="2"/>
      <c r="G27" s="19" t="str">
        <f t="shared" si="0"/>
        <v xml:space="preserve"> </v>
      </c>
      <c r="H27" s="2"/>
      <c r="I27" s="2"/>
      <c r="J27" s="2"/>
      <c r="K27" s="5" t="str">
        <f t="shared" si="1"/>
        <v xml:space="preserve"> </v>
      </c>
      <c r="L27" s="22" t="str">
        <f t="shared" si="2"/>
        <v xml:space="preserve"> </v>
      </c>
      <c r="M27" s="3" t="str">
        <f t="shared" si="3"/>
        <v/>
      </c>
    </row>
    <row r="28" spans="1:13" x14ac:dyDescent="0.25">
      <c r="A28" s="16"/>
      <c r="B28" s="2"/>
      <c r="C28" s="2"/>
      <c r="D28" s="2"/>
      <c r="E28" s="2"/>
      <c r="F28" s="2"/>
      <c r="G28" s="19" t="str">
        <f t="shared" si="0"/>
        <v xml:space="preserve"> </v>
      </c>
      <c r="H28" s="2"/>
      <c r="I28" s="2"/>
      <c r="J28" s="2"/>
      <c r="K28" s="5" t="str">
        <f t="shared" si="1"/>
        <v xml:space="preserve"> </v>
      </c>
      <c r="L28" s="22" t="str">
        <f t="shared" si="2"/>
        <v xml:space="preserve"> </v>
      </c>
      <c r="M28" s="3" t="str">
        <f t="shared" si="3"/>
        <v/>
      </c>
    </row>
    <row r="29" spans="1:13" x14ac:dyDescent="0.25">
      <c r="A29" s="16"/>
      <c r="B29" s="2"/>
      <c r="C29" s="2"/>
      <c r="D29" s="2"/>
      <c r="E29" s="2"/>
      <c r="F29" s="2"/>
      <c r="G29" s="19" t="str">
        <f t="shared" si="0"/>
        <v xml:space="preserve"> </v>
      </c>
      <c r="H29" s="2"/>
      <c r="I29" s="2"/>
      <c r="J29" s="2"/>
      <c r="K29" s="5" t="str">
        <f t="shared" si="1"/>
        <v xml:space="preserve"> </v>
      </c>
      <c r="L29" s="22" t="str">
        <f t="shared" si="2"/>
        <v xml:space="preserve"> </v>
      </c>
      <c r="M29" s="3" t="str">
        <f t="shared" si="3"/>
        <v/>
      </c>
    </row>
    <row r="30" spans="1:13" x14ac:dyDescent="0.25">
      <c r="A30" s="16"/>
      <c r="B30" s="2"/>
      <c r="C30" s="2"/>
      <c r="D30" s="2"/>
      <c r="E30" s="2"/>
      <c r="F30" s="2"/>
      <c r="G30" s="19" t="str">
        <f t="shared" si="0"/>
        <v xml:space="preserve"> </v>
      </c>
      <c r="H30" s="2"/>
      <c r="I30" s="2"/>
      <c r="J30" s="2"/>
      <c r="K30" s="5" t="str">
        <f t="shared" si="1"/>
        <v xml:space="preserve"> </v>
      </c>
      <c r="L30" s="22" t="str">
        <f t="shared" si="2"/>
        <v xml:space="preserve"> </v>
      </c>
      <c r="M30" s="3" t="str">
        <f t="shared" si="3"/>
        <v/>
      </c>
    </row>
    <row r="31" spans="1:13" x14ac:dyDescent="0.25">
      <c r="A31" s="2"/>
      <c r="B31" s="2"/>
      <c r="C31" s="2"/>
      <c r="D31" s="2"/>
      <c r="E31" s="2"/>
      <c r="F31" s="2"/>
      <c r="G31" s="19" t="str">
        <f t="shared" si="0"/>
        <v xml:space="preserve"> </v>
      </c>
      <c r="H31" s="2"/>
      <c r="I31" s="2"/>
      <c r="J31" s="2"/>
      <c r="K31" s="5" t="str">
        <f t="shared" si="1"/>
        <v xml:space="preserve"> </v>
      </c>
      <c r="L31" s="22" t="str">
        <f t="shared" si="2"/>
        <v xml:space="preserve"> </v>
      </c>
      <c r="M31" s="3" t="str">
        <f t="shared" si="3"/>
        <v/>
      </c>
    </row>
    <row r="32" spans="1:13" x14ac:dyDescent="0.25">
      <c r="A32" s="2"/>
      <c r="B32" s="2"/>
      <c r="C32" s="2"/>
      <c r="D32" s="2"/>
      <c r="E32" s="2"/>
      <c r="F32" s="2"/>
      <c r="G32" s="19" t="str">
        <f t="shared" si="0"/>
        <v xml:space="preserve"> </v>
      </c>
      <c r="H32" s="2"/>
      <c r="I32" s="2"/>
      <c r="J32" s="2"/>
      <c r="K32" s="5" t="str">
        <f t="shared" si="1"/>
        <v xml:space="preserve"> </v>
      </c>
      <c r="L32" s="22" t="str">
        <f t="shared" si="2"/>
        <v xml:space="preserve"> </v>
      </c>
      <c r="M32" s="3" t="str">
        <f t="shared" si="3"/>
        <v/>
      </c>
    </row>
    <row r="33" spans="1:13" x14ac:dyDescent="0.25">
      <c r="A33" s="2"/>
      <c r="B33" s="2"/>
      <c r="C33" s="2"/>
      <c r="D33" s="2"/>
      <c r="E33" s="2"/>
      <c r="F33" s="2"/>
      <c r="G33" s="19" t="str">
        <f t="shared" si="0"/>
        <v xml:space="preserve"> </v>
      </c>
      <c r="H33" s="2"/>
      <c r="I33" s="2"/>
      <c r="J33" s="2"/>
      <c r="K33" s="5" t="str">
        <f t="shared" si="1"/>
        <v xml:space="preserve"> </v>
      </c>
      <c r="L33" s="22" t="str">
        <f t="shared" si="2"/>
        <v xml:space="preserve"> </v>
      </c>
      <c r="M33" s="3" t="str">
        <f t="shared" si="3"/>
        <v/>
      </c>
    </row>
    <row r="34" spans="1:13" x14ac:dyDescent="0.25">
      <c r="A34" s="2"/>
      <c r="B34" s="2"/>
      <c r="C34" s="2"/>
      <c r="D34" s="2"/>
      <c r="E34" s="2"/>
      <c r="F34" s="2"/>
      <c r="G34" s="19" t="str">
        <f t="shared" si="0"/>
        <v xml:space="preserve"> </v>
      </c>
      <c r="H34" s="2"/>
      <c r="I34" s="2"/>
      <c r="J34" s="2"/>
      <c r="K34" s="5" t="str">
        <f t="shared" si="1"/>
        <v xml:space="preserve"> </v>
      </c>
      <c r="L34" s="22" t="str">
        <f t="shared" si="2"/>
        <v xml:space="preserve"> </v>
      </c>
      <c r="M34" s="3" t="str">
        <f t="shared" si="3"/>
        <v/>
      </c>
    </row>
    <row r="35" spans="1:13" x14ac:dyDescent="0.25">
      <c r="A35" s="2"/>
      <c r="B35" s="2"/>
      <c r="C35" s="2"/>
      <c r="D35" s="2"/>
      <c r="E35" s="2"/>
      <c r="F35" s="2"/>
      <c r="G35" s="19" t="str">
        <f t="shared" si="0"/>
        <v xml:space="preserve"> </v>
      </c>
      <c r="H35" s="2"/>
      <c r="I35" s="2"/>
      <c r="J35" s="2"/>
      <c r="K35" s="5" t="str">
        <f t="shared" si="1"/>
        <v xml:space="preserve"> </v>
      </c>
      <c r="L35" s="22" t="str">
        <f t="shared" si="2"/>
        <v xml:space="preserve"> </v>
      </c>
      <c r="M35" s="3" t="str">
        <f t="shared" si="3"/>
        <v/>
      </c>
    </row>
    <row r="36" spans="1:13" x14ac:dyDescent="0.25">
      <c r="A36" s="2"/>
      <c r="B36" s="2"/>
      <c r="C36" s="2"/>
      <c r="D36" s="2"/>
      <c r="E36" s="2"/>
      <c r="F36" s="2"/>
      <c r="G36" s="19" t="str">
        <f t="shared" si="0"/>
        <v xml:space="preserve"> </v>
      </c>
      <c r="H36" s="2"/>
      <c r="I36" s="2"/>
      <c r="J36" s="2"/>
      <c r="K36" s="5" t="str">
        <f t="shared" si="1"/>
        <v xml:space="preserve"> </v>
      </c>
      <c r="L36" s="22" t="str">
        <f t="shared" si="2"/>
        <v xml:space="preserve"> </v>
      </c>
      <c r="M36" s="3" t="str">
        <f t="shared" si="3"/>
        <v/>
      </c>
    </row>
    <row r="37" spans="1:13" x14ac:dyDescent="0.25">
      <c r="A37" s="2"/>
      <c r="B37" s="2"/>
      <c r="C37" s="2"/>
      <c r="D37" s="2"/>
      <c r="E37" s="2"/>
      <c r="F37" s="2"/>
      <c r="G37" s="19" t="str">
        <f t="shared" si="0"/>
        <v xml:space="preserve"> </v>
      </c>
      <c r="H37" s="2"/>
      <c r="I37" s="2"/>
      <c r="J37" s="2"/>
      <c r="K37" s="5" t="str">
        <f t="shared" si="1"/>
        <v xml:space="preserve"> </v>
      </c>
      <c r="L37" s="22" t="str">
        <f t="shared" si="2"/>
        <v xml:space="preserve"> </v>
      </c>
      <c r="M37" s="3" t="str">
        <f t="shared" si="3"/>
        <v/>
      </c>
    </row>
    <row r="38" spans="1:13" x14ac:dyDescent="0.25">
      <c r="A38" s="2"/>
      <c r="B38" s="2"/>
      <c r="C38" s="2"/>
      <c r="D38" s="2"/>
      <c r="E38" s="2"/>
      <c r="F38" s="2"/>
      <c r="G38" s="19" t="str">
        <f t="shared" si="0"/>
        <v xml:space="preserve"> </v>
      </c>
      <c r="H38" s="2"/>
      <c r="I38" s="2"/>
      <c r="J38" s="2"/>
      <c r="K38" s="5" t="str">
        <f t="shared" si="1"/>
        <v xml:space="preserve"> </v>
      </c>
      <c r="L38" s="22" t="str">
        <f t="shared" si="2"/>
        <v xml:space="preserve"> </v>
      </c>
      <c r="M38" s="3" t="str">
        <f t="shared" si="3"/>
        <v/>
      </c>
    </row>
    <row r="39" spans="1:13" x14ac:dyDescent="0.25">
      <c r="A39" s="2"/>
      <c r="B39" s="2"/>
      <c r="C39" s="2"/>
      <c r="D39" s="2"/>
      <c r="E39" s="2"/>
      <c r="F39" s="2"/>
      <c r="G39" s="19" t="str">
        <f t="shared" si="0"/>
        <v xml:space="preserve"> </v>
      </c>
      <c r="H39" s="2"/>
      <c r="I39" s="2"/>
      <c r="J39" s="2"/>
      <c r="K39" s="5" t="str">
        <f t="shared" si="1"/>
        <v xml:space="preserve"> </v>
      </c>
      <c r="L39" s="22" t="str">
        <f t="shared" si="2"/>
        <v xml:space="preserve"> </v>
      </c>
      <c r="M39" s="3" t="str">
        <f t="shared" si="3"/>
        <v/>
      </c>
    </row>
    <row r="40" spans="1:13" x14ac:dyDescent="0.25">
      <c r="A40" s="2"/>
      <c r="B40" s="2"/>
      <c r="C40" s="2"/>
      <c r="D40" s="2"/>
      <c r="E40" s="2"/>
      <c r="F40" s="2"/>
      <c r="G40" s="19" t="str">
        <f t="shared" si="0"/>
        <v xml:space="preserve"> </v>
      </c>
      <c r="H40" s="2"/>
      <c r="I40" s="2"/>
      <c r="J40" s="2"/>
      <c r="K40" s="5" t="str">
        <f t="shared" si="1"/>
        <v xml:space="preserve"> </v>
      </c>
      <c r="L40" s="22" t="str">
        <f t="shared" si="2"/>
        <v xml:space="preserve"> </v>
      </c>
      <c r="M40" s="3" t="str">
        <f t="shared" si="3"/>
        <v/>
      </c>
    </row>
    <row r="41" spans="1:13" x14ac:dyDescent="0.25">
      <c r="A41" s="2"/>
      <c r="B41" s="2"/>
      <c r="C41" s="2"/>
      <c r="D41" s="2"/>
      <c r="E41" s="2"/>
      <c r="F41" s="2"/>
      <c r="G41" s="19" t="str">
        <f t="shared" si="0"/>
        <v xml:space="preserve"> </v>
      </c>
      <c r="H41" s="2"/>
      <c r="I41" s="2"/>
      <c r="J41" s="2"/>
      <c r="K41" s="5" t="str">
        <f t="shared" si="1"/>
        <v xml:space="preserve"> </v>
      </c>
      <c r="L41" s="22" t="str">
        <f t="shared" si="2"/>
        <v xml:space="preserve"> </v>
      </c>
      <c r="M41" s="3" t="str">
        <f t="shared" si="3"/>
        <v/>
      </c>
    </row>
    <row r="42" spans="1:13" x14ac:dyDescent="0.25">
      <c r="A42" s="2"/>
      <c r="B42" s="2"/>
      <c r="C42" s="2"/>
      <c r="D42" s="2"/>
      <c r="E42" s="2"/>
      <c r="F42" s="2"/>
      <c r="G42" s="19" t="str">
        <f t="shared" si="0"/>
        <v xml:space="preserve"> </v>
      </c>
      <c r="H42" s="2"/>
      <c r="I42" s="2"/>
      <c r="J42" s="2"/>
      <c r="K42" s="5" t="str">
        <f t="shared" si="1"/>
        <v xml:space="preserve"> </v>
      </c>
      <c r="L42" s="22" t="str">
        <f t="shared" si="2"/>
        <v xml:space="preserve"> </v>
      </c>
      <c r="M42" s="3" t="str">
        <f t="shared" si="3"/>
        <v/>
      </c>
    </row>
    <row r="43" spans="1:13" x14ac:dyDescent="0.25">
      <c r="A43" s="2"/>
      <c r="B43" s="2"/>
      <c r="C43" s="2"/>
      <c r="D43" s="2"/>
      <c r="E43" s="2"/>
      <c r="F43" s="2"/>
      <c r="G43" s="19" t="str">
        <f t="shared" si="0"/>
        <v xml:space="preserve"> </v>
      </c>
      <c r="H43" s="2"/>
      <c r="I43" s="2"/>
      <c r="J43" s="2"/>
      <c r="K43" s="5" t="str">
        <f t="shared" si="1"/>
        <v xml:space="preserve"> </v>
      </c>
      <c r="L43" s="22" t="str">
        <f t="shared" si="2"/>
        <v xml:space="preserve"> </v>
      </c>
      <c r="M43" s="3" t="str">
        <f t="shared" si="3"/>
        <v/>
      </c>
    </row>
  </sheetData>
  <conditionalFormatting sqref="M2:M43">
    <cfRule type="cellIs" dxfId="9" priority="1" operator="lessThan">
      <formula>11</formula>
    </cfRule>
    <cfRule type="cellIs" dxfId="8" priority="2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3"/>
  <sheetViews>
    <sheetView topLeftCell="C1" workbookViewId="0">
      <selection activeCell="C3" sqref="C3:C25"/>
    </sheetView>
  </sheetViews>
  <sheetFormatPr baseColWidth="10" defaultColWidth="0" defaultRowHeight="15" x14ac:dyDescent="0.25"/>
  <cols>
    <col min="1" max="2" width="0" hidden="1" customWidth="1"/>
    <col min="3" max="3" width="44.140625" bestFit="1" customWidth="1"/>
    <col min="4" max="4" width="14.5703125" customWidth="1"/>
    <col min="5" max="5" width="14.140625" customWidth="1"/>
    <col min="6" max="6" width="16" customWidth="1"/>
    <col min="7" max="7" width="6.140625" customWidth="1"/>
    <col min="8" max="9" width="0" hidden="1" customWidth="1"/>
    <col min="10" max="16384" width="26.28515625" hidden="1"/>
  </cols>
  <sheetData>
    <row r="1" spans="1:6" x14ac:dyDescent="0.25">
      <c r="C1" s="2"/>
      <c r="D1" s="33" t="s">
        <v>12</v>
      </c>
      <c r="E1" s="28"/>
      <c r="F1" s="30" t="s">
        <v>13</v>
      </c>
    </row>
    <row r="2" spans="1:6" ht="134.25" customHeight="1" x14ac:dyDescent="0.25">
      <c r="A2" t="s">
        <v>0</v>
      </c>
      <c r="B2" t="s">
        <v>1</v>
      </c>
      <c r="C2" s="15" t="s">
        <v>2</v>
      </c>
      <c r="D2" s="23" t="s">
        <v>39</v>
      </c>
      <c r="E2" s="23" t="s">
        <v>40</v>
      </c>
      <c r="F2" s="27"/>
    </row>
    <row r="3" spans="1:6" x14ac:dyDescent="0.25">
      <c r="A3" s="1" t="s">
        <v>3</v>
      </c>
      <c r="B3" s="1" t="s">
        <v>4</v>
      </c>
      <c r="C3" s="2" t="s">
        <v>63</v>
      </c>
      <c r="D3" s="13"/>
      <c r="E3" s="13"/>
      <c r="F3" s="3">
        <f t="shared" ref="F3:F43" si="0">ROUND(D3*0.3+E3*0.7,0)</f>
        <v>0</v>
      </c>
    </row>
    <row r="4" spans="1:6" x14ac:dyDescent="0.25">
      <c r="A4" s="1" t="s">
        <v>3</v>
      </c>
      <c r="B4" s="1" t="s">
        <v>4</v>
      </c>
      <c r="C4" s="2" t="s">
        <v>41</v>
      </c>
      <c r="D4" s="13"/>
      <c r="E4" s="13"/>
      <c r="F4" s="3">
        <f t="shared" si="0"/>
        <v>0</v>
      </c>
    </row>
    <row r="5" spans="1:6" x14ac:dyDescent="0.25">
      <c r="A5" s="1" t="s">
        <v>3</v>
      </c>
      <c r="B5" s="1" t="s">
        <v>4</v>
      </c>
      <c r="C5" s="2" t="s">
        <v>42</v>
      </c>
      <c r="D5" s="13"/>
      <c r="E5" s="13"/>
      <c r="F5" s="3">
        <f t="shared" si="0"/>
        <v>0</v>
      </c>
    </row>
    <row r="6" spans="1:6" x14ac:dyDescent="0.25">
      <c r="A6" s="1" t="s">
        <v>3</v>
      </c>
      <c r="B6" s="1" t="s">
        <v>4</v>
      </c>
      <c r="C6" s="2" t="s">
        <v>43</v>
      </c>
      <c r="D6" s="13"/>
      <c r="E6" s="13"/>
      <c r="F6" s="3">
        <f t="shared" si="0"/>
        <v>0</v>
      </c>
    </row>
    <row r="7" spans="1:6" x14ac:dyDescent="0.25">
      <c r="A7" s="1" t="s">
        <v>3</v>
      </c>
      <c r="B7" s="1" t="s">
        <v>4</v>
      </c>
      <c r="C7" s="2" t="s">
        <v>44</v>
      </c>
      <c r="D7" s="13"/>
      <c r="E7" s="13"/>
      <c r="F7" s="3">
        <f t="shared" si="0"/>
        <v>0</v>
      </c>
    </row>
    <row r="8" spans="1:6" x14ac:dyDescent="0.25">
      <c r="A8" s="1" t="s">
        <v>3</v>
      </c>
      <c r="B8" s="1" t="s">
        <v>4</v>
      </c>
      <c r="C8" s="2" t="s">
        <v>45</v>
      </c>
      <c r="D8" s="13"/>
      <c r="E8" s="13"/>
      <c r="F8" s="3">
        <f t="shared" si="0"/>
        <v>0</v>
      </c>
    </row>
    <row r="9" spans="1:6" x14ac:dyDescent="0.25">
      <c r="A9" s="1" t="s">
        <v>3</v>
      </c>
      <c r="B9" s="1" t="s">
        <v>4</v>
      </c>
      <c r="C9" s="2" t="s">
        <v>46</v>
      </c>
      <c r="D9" s="13"/>
      <c r="E9" s="13"/>
      <c r="F9" s="3">
        <f t="shared" si="0"/>
        <v>0</v>
      </c>
    </row>
    <row r="10" spans="1:6" x14ac:dyDescent="0.25">
      <c r="A10" s="1" t="s">
        <v>3</v>
      </c>
      <c r="B10" s="1" t="s">
        <v>4</v>
      </c>
      <c r="C10" s="2" t="s">
        <v>47</v>
      </c>
      <c r="D10" s="13"/>
      <c r="E10" s="13"/>
      <c r="F10" s="3">
        <f t="shared" si="0"/>
        <v>0</v>
      </c>
    </row>
    <row r="11" spans="1:6" x14ac:dyDescent="0.25">
      <c r="C11" s="2" t="s">
        <v>48</v>
      </c>
      <c r="D11" s="13"/>
      <c r="E11" s="13"/>
      <c r="F11" s="3">
        <f t="shared" si="0"/>
        <v>0</v>
      </c>
    </row>
    <row r="12" spans="1:6" x14ac:dyDescent="0.25">
      <c r="C12" s="2" t="s">
        <v>49</v>
      </c>
      <c r="D12" s="13"/>
      <c r="E12" s="13"/>
      <c r="F12" s="3">
        <f t="shared" si="0"/>
        <v>0</v>
      </c>
    </row>
    <row r="13" spans="1:6" x14ac:dyDescent="0.25">
      <c r="C13" s="2" t="s">
        <v>50</v>
      </c>
      <c r="D13" s="13"/>
      <c r="E13" s="13"/>
      <c r="F13" s="3">
        <f t="shared" si="0"/>
        <v>0</v>
      </c>
    </row>
    <row r="14" spans="1:6" x14ac:dyDescent="0.25">
      <c r="C14" s="2" t="s">
        <v>51</v>
      </c>
      <c r="D14" s="13"/>
      <c r="E14" s="13"/>
      <c r="F14" s="3">
        <f t="shared" si="0"/>
        <v>0</v>
      </c>
    </row>
    <row r="15" spans="1:6" x14ac:dyDescent="0.25">
      <c r="C15" s="2" t="s">
        <v>52</v>
      </c>
      <c r="D15" s="13"/>
      <c r="E15" s="13"/>
      <c r="F15" s="3">
        <f t="shared" si="0"/>
        <v>0</v>
      </c>
    </row>
    <row r="16" spans="1:6" x14ac:dyDescent="0.25">
      <c r="C16" s="2" t="s">
        <v>53</v>
      </c>
      <c r="D16" s="13"/>
      <c r="E16" s="13"/>
      <c r="F16" s="3">
        <f t="shared" si="0"/>
        <v>0</v>
      </c>
    </row>
    <row r="17" spans="3:6" x14ac:dyDescent="0.25">
      <c r="C17" s="2" t="s">
        <v>54</v>
      </c>
      <c r="D17" s="13"/>
      <c r="E17" s="13"/>
      <c r="F17" s="3">
        <f t="shared" si="0"/>
        <v>0</v>
      </c>
    </row>
    <row r="18" spans="3:6" x14ac:dyDescent="0.25">
      <c r="C18" s="2" t="s">
        <v>55</v>
      </c>
      <c r="D18" s="13"/>
      <c r="E18" s="13"/>
      <c r="F18" s="3">
        <f t="shared" si="0"/>
        <v>0</v>
      </c>
    </row>
    <row r="19" spans="3:6" x14ac:dyDescent="0.25">
      <c r="C19" s="2" t="s">
        <v>56</v>
      </c>
      <c r="D19" s="13"/>
      <c r="E19" s="13"/>
      <c r="F19" s="3">
        <f t="shared" si="0"/>
        <v>0</v>
      </c>
    </row>
    <row r="20" spans="3:6" x14ac:dyDescent="0.25">
      <c r="C20" s="2" t="s">
        <v>57</v>
      </c>
      <c r="D20" s="13"/>
      <c r="E20" s="13"/>
      <c r="F20" s="3">
        <f t="shared" si="0"/>
        <v>0</v>
      </c>
    </row>
    <row r="21" spans="3:6" x14ac:dyDescent="0.25">
      <c r="C21" s="2" t="s">
        <v>58</v>
      </c>
      <c r="D21" s="13"/>
      <c r="E21" s="13"/>
      <c r="F21" s="3">
        <f t="shared" si="0"/>
        <v>0</v>
      </c>
    </row>
    <row r="22" spans="3:6" x14ac:dyDescent="0.25">
      <c r="C22" s="2" t="s">
        <v>59</v>
      </c>
      <c r="D22" s="13"/>
      <c r="E22" s="13"/>
      <c r="F22" s="3">
        <f t="shared" si="0"/>
        <v>0</v>
      </c>
    </row>
    <row r="23" spans="3:6" x14ac:dyDescent="0.25">
      <c r="C23" s="2" t="s">
        <v>60</v>
      </c>
      <c r="D23" s="13"/>
      <c r="E23" s="13"/>
      <c r="F23" s="3">
        <f t="shared" si="0"/>
        <v>0</v>
      </c>
    </row>
    <row r="24" spans="3:6" x14ac:dyDescent="0.25">
      <c r="C24" s="2" t="s">
        <v>61</v>
      </c>
      <c r="D24" s="13"/>
      <c r="E24" s="13"/>
      <c r="F24" s="3">
        <f t="shared" si="0"/>
        <v>0</v>
      </c>
    </row>
    <row r="25" spans="3:6" x14ac:dyDescent="0.25">
      <c r="C25" s="2" t="s">
        <v>62</v>
      </c>
      <c r="D25" s="4"/>
      <c r="E25" s="4"/>
      <c r="F25" s="3">
        <f t="shared" si="0"/>
        <v>0</v>
      </c>
    </row>
    <row r="26" spans="3:6" x14ac:dyDescent="0.25">
      <c r="C26" s="2"/>
      <c r="D26" s="2"/>
      <c r="E26" s="2"/>
      <c r="F26" s="3">
        <f t="shared" si="0"/>
        <v>0</v>
      </c>
    </row>
    <row r="27" spans="3:6" x14ac:dyDescent="0.25">
      <c r="C27" s="2"/>
      <c r="D27" s="2"/>
      <c r="E27" s="2"/>
      <c r="F27" s="3">
        <f t="shared" si="0"/>
        <v>0</v>
      </c>
    </row>
    <row r="28" spans="3:6" x14ac:dyDescent="0.25">
      <c r="C28" s="2"/>
      <c r="D28" s="2"/>
      <c r="E28" s="4"/>
      <c r="F28" s="3">
        <f t="shared" si="0"/>
        <v>0</v>
      </c>
    </row>
    <row r="29" spans="3:6" x14ac:dyDescent="0.25">
      <c r="C29" s="2"/>
      <c r="D29" s="2"/>
      <c r="E29" s="2"/>
      <c r="F29" s="3">
        <f t="shared" si="0"/>
        <v>0</v>
      </c>
    </row>
    <row r="30" spans="3:6" x14ac:dyDescent="0.25">
      <c r="C30" s="2"/>
      <c r="D30" s="2"/>
      <c r="E30" s="2"/>
      <c r="F30" s="3">
        <f t="shared" si="0"/>
        <v>0</v>
      </c>
    </row>
    <row r="31" spans="3:6" x14ac:dyDescent="0.25">
      <c r="C31" s="2"/>
      <c r="D31" s="2"/>
      <c r="E31" s="2"/>
      <c r="F31" s="3">
        <f t="shared" si="0"/>
        <v>0</v>
      </c>
    </row>
    <row r="32" spans="3:6" x14ac:dyDescent="0.25">
      <c r="C32" s="2"/>
      <c r="D32" s="2"/>
      <c r="E32" s="2"/>
      <c r="F32" s="3">
        <f t="shared" si="0"/>
        <v>0</v>
      </c>
    </row>
    <row r="33" spans="3:6" x14ac:dyDescent="0.25">
      <c r="C33" s="2"/>
      <c r="D33" s="2"/>
      <c r="E33" s="2"/>
      <c r="F33" s="3">
        <f t="shared" si="0"/>
        <v>0</v>
      </c>
    </row>
    <row r="34" spans="3:6" x14ac:dyDescent="0.25">
      <c r="C34" s="2"/>
      <c r="D34" s="2"/>
      <c r="E34" s="2"/>
      <c r="F34" s="3">
        <f t="shared" si="0"/>
        <v>0</v>
      </c>
    </row>
    <row r="35" spans="3:6" x14ac:dyDescent="0.25">
      <c r="C35" s="2"/>
      <c r="D35" s="2"/>
      <c r="E35" s="2"/>
      <c r="F35" s="3">
        <f t="shared" si="0"/>
        <v>0</v>
      </c>
    </row>
    <row r="36" spans="3:6" x14ac:dyDescent="0.25">
      <c r="C36" s="2"/>
      <c r="D36" s="2"/>
      <c r="E36" s="2"/>
      <c r="F36" s="3">
        <f t="shared" si="0"/>
        <v>0</v>
      </c>
    </row>
    <row r="37" spans="3:6" x14ac:dyDescent="0.25">
      <c r="C37" s="2"/>
      <c r="D37" s="2"/>
      <c r="E37" s="2"/>
      <c r="F37" s="3">
        <f t="shared" si="0"/>
        <v>0</v>
      </c>
    </row>
    <row r="38" spans="3:6" x14ac:dyDescent="0.25">
      <c r="C38" s="2"/>
      <c r="D38" s="2"/>
      <c r="E38" s="2"/>
      <c r="F38" s="3">
        <f t="shared" si="0"/>
        <v>0</v>
      </c>
    </row>
    <row r="39" spans="3:6" x14ac:dyDescent="0.25">
      <c r="C39" s="2"/>
      <c r="D39" s="2"/>
      <c r="E39" s="2"/>
      <c r="F39" s="3">
        <f t="shared" si="0"/>
        <v>0</v>
      </c>
    </row>
    <row r="40" spans="3:6" x14ac:dyDescent="0.25">
      <c r="C40" s="2"/>
      <c r="D40" s="2"/>
      <c r="E40" s="2"/>
      <c r="F40" s="3">
        <f t="shared" si="0"/>
        <v>0</v>
      </c>
    </row>
    <row r="41" spans="3:6" x14ac:dyDescent="0.25">
      <c r="C41" s="2"/>
      <c r="D41" s="2"/>
      <c r="E41" s="2"/>
      <c r="F41" s="3">
        <f t="shared" si="0"/>
        <v>0</v>
      </c>
    </row>
    <row r="42" spans="3:6" x14ac:dyDescent="0.25">
      <c r="C42" s="2"/>
      <c r="D42" s="2"/>
      <c r="E42" s="2"/>
      <c r="F42" s="3">
        <f t="shared" si="0"/>
        <v>0</v>
      </c>
    </row>
    <row r="43" spans="3:6" x14ac:dyDescent="0.25">
      <c r="C43" s="2"/>
      <c r="D43" s="2"/>
      <c r="E43" s="2"/>
      <c r="F43" s="3">
        <f t="shared" si="0"/>
        <v>0</v>
      </c>
    </row>
  </sheetData>
  <mergeCells count="2">
    <mergeCell ref="D1:E1"/>
    <mergeCell ref="F1:F2"/>
  </mergeCells>
  <conditionalFormatting sqref="D3:H1048576 G1:H2">
    <cfRule type="cellIs" dxfId="7" priority="3" operator="lessThan">
      <formula>11</formula>
    </cfRule>
  </conditionalFormatting>
  <conditionalFormatting sqref="F3:F43">
    <cfRule type="cellIs" dxfId="6" priority="1" operator="lessThan">
      <formula>10.5</formula>
    </cfRule>
    <cfRule type="cellIs" dxfId="5" priority="2" operator="greaterThan">
      <formula>10.49</formula>
    </cfRule>
  </conditionalFormatting>
  <conditionalFormatting sqref="G1:H2 D3:H1048576">
    <cfRule type="cellIs" dxfId="4" priority="4" operator="greaterThan">
      <formula>10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9"/>
  <sheetViews>
    <sheetView showGridLines="0" workbookViewId="0">
      <selection activeCell="B8" sqref="B8"/>
    </sheetView>
  </sheetViews>
  <sheetFormatPr baseColWidth="10" defaultColWidth="0" defaultRowHeight="15" zeroHeight="1" x14ac:dyDescent="0.25"/>
  <cols>
    <col min="1" max="1" width="41.140625" bestFit="1" customWidth="1"/>
    <col min="2" max="2" width="10.7109375" bestFit="1" customWidth="1"/>
    <col min="3" max="3" width="7.5703125" customWidth="1"/>
    <col min="4" max="16384" width="11.42578125" hidden="1"/>
  </cols>
  <sheetData>
    <row r="1" spans="1:2" x14ac:dyDescent="0.25">
      <c r="A1" s="2"/>
      <c r="B1" s="34" t="s">
        <v>13</v>
      </c>
    </row>
    <row r="2" spans="1:2" x14ac:dyDescent="0.25">
      <c r="A2" s="5" t="s">
        <v>2</v>
      </c>
      <c r="B2" s="35"/>
    </row>
    <row r="3" spans="1:2" x14ac:dyDescent="0.25">
      <c r="A3" s="2" t="s">
        <v>63</v>
      </c>
      <c r="B3" s="14">
        <f>IFERROR(CONSOLIDADO1!H3*0.2+PARCIAL!F3*0.2+'CONSOLIDADO 2'!H3*0.2+'EXAMEN FINAL'!F3*0.4,"")</f>
        <v>6.3000000000000007</v>
      </c>
    </row>
    <row r="4" spans="1:2" x14ac:dyDescent="0.25">
      <c r="A4" s="2" t="s">
        <v>41</v>
      </c>
      <c r="B4" s="14">
        <f>IFERROR(CONSOLIDADO1!H4*0.2+PARCIAL!F4*0.2+'CONSOLIDADO 2'!H4*0.2+'EXAMEN FINAL'!F4*0.4,"")</f>
        <v>0.60000000000000009</v>
      </c>
    </row>
    <row r="5" spans="1:2" x14ac:dyDescent="0.25">
      <c r="A5" s="2" t="s">
        <v>42</v>
      </c>
      <c r="B5" s="14">
        <f>IFERROR(CONSOLIDADO1!H5*0.2+PARCIAL!F5*0.2+'CONSOLIDADO 2'!H5*0.2+'EXAMEN FINAL'!F5*0.4,"")</f>
        <v>5.8000000000000007</v>
      </c>
    </row>
    <row r="6" spans="1:2" x14ac:dyDescent="0.25">
      <c r="A6" s="2" t="s">
        <v>43</v>
      </c>
      <c r="B6" s="14">
        <f>IFERROR(CONSOLIDADO1!H6*0.2+PARCIAL!F6*0.2+'CONSOLIDADO 2'!H6*0.2+'EXAMEN FINAL'!F6*0.4,"")</f>
        <v>4.0999999999999996</v>
      </c>
    </row>
    <row r="7" spans="1:2" x14ac:dyDescent="0.25">
      <c r="A7" s="2" t="s">
        <v>44</v>
      </c>
      <c r="B7" s="14">
        <f>IFERROR(CONSOLIDADO1!H7*0.2+PARCIAL!F7*0.2+'CONSOLIDADO 2'!H7*0.2+'EXAMEN FINAL'!F7*0.4,"")</f>
        <v>6.2</v>
      </c>
    </row>
    <row r="8" spans="1:2" x14ac:dyDescent="0.25">
      <c r="A8" s="2" t="s">
        <v>45</v>
      </c>
      <c r="B8" s="14">
        <f>IFERROR(CONSOLIDADO1!H8*0.2+PARCIAL!F8*0.2+'CONSOLIDADO 2'!H8*0.2+'EXAMEN FINAL'!F8*0.4,"")</f>
        <v>10.4</v>
      </c>
    </row>
    <row r="9" spans="1:2" x14ac:dyDescent="0.25">
      <c r="A9" s="2" t="s">
        <v>46</v>
      </c>
      <c r="B9" s="14">
        <f>IFERROR(CONSOLIDADO1!H9*0.2+PARCIAL!F9*0.2+'CONSOLIDADO 2'!H9*0.2+'EXAMEN FINAL'!F9*0.4,"")</f>
        <v>6.5</v>
      </c>
    </row>
    <row r="10" spans="1:2" x14ac:dyDescent="0.25">
      <c r="A10" s="2" t="s">
        <v>47</v>
      </c>
      <c r="B10" s="14">
        <f>IFERROR(CONSOLIDADO1!H10*0.2+PARCIAL!F10*0.2+'CONSOLIDADO 2'!H10*0.2+'EXAMEN FINAL'!F10*0.4,"")</f>
        <v>4.3000000000000007</v>
      </c>
    </row>
    <row r="11" spans="1:2" x14ac:dyDescent="0.25">
      <c r="A11" s="2" t="s">
        <v>48</v>
      </c>
      <c r="B11" s="14">
        <f>IFERROR(CONSOLIDADO1!H11*0.2+PARCIAL!F11*0.2+'CONSOLIDADO 2'!H11*0.2+'EXAMEN FINAL'!F11*0.4,"")</f>
        <v>3.6000000000000005</v>
      </c>
    </row>
    <row r="12" spans="1:2" x14ac:dyDescent="0.25">
      <c r="A12" s="2" t="s">
        <v>49</v>
      </c>
      <c r="B12" s="14">
        <f>IFERROR(CONSOLIDADO1!H12*0.2+PARCIAL!F12*0.2+'CONSOLIDADO 2'!H12*0.2+'EXAMEN FINAL'!F12*0.4,"")</f>
        <v>5.8000000000000007</v>
      </c>
    </row>
    <row r="13" spans="1:2" x14ac:dyDescent="0.25">
      <c r="A13" s="2" t="s">
        <v>50</v>
      </c>
      <c r="B13" s="14">
        <f>IFERROR(CONSOLIDADO1!H13*0.2+PARCIAL!F13*0.2+'CONSOLIDADO 2'!H13*0.2+'EXAMEN FINAL'!F13*0.4,"")</f>
        <v>6.8999999999999995</v>
      </c>
    </row>
    <row r="14" spans="1:2" x14ac:dyDescent="0.25">
      <c r="A14" s="2" t="s">
        <v>51</v>
      </c>
      <c r="B14" s="14">
        <f>IFERROR(CONSOLIDADO1!H14*0.2+PARCIAL!F14*0.2+'CONSOLIDADO 2'!H14*0.2+'EXAMEN FINAL'!F14*0.4,"")</f>
        <v>4.7</v>
      </c>
    </row>
    <row r="15" spans="1:2" x14ac:dyDescent="0.25">
      <c r="A15" s="2" t="s">
        <v>52</v>
      </c>
      <c r="B15" s="14">
        <f>IFERROR(CONSOLIDADO1!H15*0.2+PARCIAL!F15*0.2+'CONSOLIDADO 2'!H15*0.2+'EXAMEN FINAL'!F15*0.4,"")</f>
        <v>3.9000000000000004</v>
      </c>
    </row>
    <row r="16" spans="1:2" x14ac:dyDescent="0.25">
      <c r="A16" s="2" t="s">
        <v>53</v>
      </c>
      <c r="B16" s="14">
        <f>IFERROR(CONSOLIDADO1!H16*0.2+PARCIAL!F16*0.2+'CONSOLIDADO 2'!H16*0.2+'EXAMEN FINAL'!F16*0.4,"")</f>
        <v>5.5</v>
      </c>
    </row>
    <row r="17" spans="1:2" x14ac:dyDescent="0.25">
      <c r="A17" s="2" t="s">
        <v>54</v>
      </c>
      <c r="B17" s="14">
        <f>IFERROR(CONSOLIDADO1!H17*0.2+PARCIAL!F17*0.2+'CONSOLIDADO 2'!H17*0.2+'EXAMEN FINAL'!F17*0.4,"")</f>
        <v>10.6</v>
      </c>
    </row>
    <row r="18" spans="1:2" x14ac:dyDescent="0.25">
      <c r="A18" s="2" t="s">
        <v>55</v>
      </c>
      <c r="B18" s="14">
        <f>IFERROR(CONSOLIDADO1!H18*0.2+PARCIAL!F18*0.2+'CONSOLIDADO 2'!H18*0.2+'EXAMEN FINAL'!F18*0.4,"")</f>
        <v>8.1000000000000014</v>
      </c>
    </row>
    <row r="19" spans="1:2" x14ac:dyDescent="0.25">
      <c r="A19" s="2" t="s">
        <v>56</v>
      </c>
      <c r="B19" s="14">
        <f>IFERROR(CONSOLIDADO1!H19*0.2+PARCIAL!F19*0.2+'CONSOLIDADO 2'!H19*0.2+'EXAMEN FINAL'!F19*0.4,"")</f>
        <v>8.6999999999999993</v>
      </c>
    </row>
    <row r="20" spans="1:2" x14ac:dyDescent="0.25">
      <c r="A20" s="2" t="s">
        <v>57</v>
      </c>
      <c r="B20" s="14">
        <f>IFERROR(CONSOLIDADO1!H20*0.2+PARCIAL!F20*0.2+'CONSOLIDADO 2'!H20*0.2+'EXAMEN FINAL'!F20*0.4,"")</f>
        <v>7.3000000000000007</v>
      </c>
    </row>
    <row r="21" spans="1:2" x14ac:dyDescent="0.25">
      <c r="A21" s="2" t="s">
        <v>58</v>
      </c>
      <c r="B21" s="14">
        <f>IFERROR(CONSOLIDADO1!H21*0.2+PARCIAL!F21*0.2+'CONSOLIDADO 2'!H21*0.2+'EXAMEN FINAL'!F21*0.4,"")</f>
        <v>9.1000000000000014</v>
      </c>
    </row>
    <row r="22" spans="1:2" x14ac:dyDescent="0.25">
      <c r="A22" s="2" t="s">
        <v>59</v>
      </c>
      <c r="B22" s="14">
        <f>IFERROR(CONSOLIDADO1!H22*0.2+PARCIAL!F22*0.2+'CONSOLIDADO 2'!H22*0.2+'EXAMEN FINAL'!F22*0.4,"")</f>
        <v>6.5000000000000009</v>
      </c>
    </row>
    <row r="23" spans="1:2" x14ac:dyDescent="0.25">
      <c r="A23" s="2" t="s">
        <v>60</v>
      </c>
      <c r="B23" s="14">
        <f>IFERROR(CONSOLIDADO1!H23*0.2+PARCIAL!F23*0.2+'CONSOLIDADO 2'!H23*0.2+'EXAMEN FINAL'!F23*0.4,"")</f>
        <v>5.6000000000000005</v>
      </c>
    </row>
    <row r="24" spans="1:2" x14ac:dyDescent="0.25">
      <c r="A24" s="2" t="s">
        <v>61</v>
      </c>
      <c r="B24" s="14">
        <f>IFERROR(CONSOLIDADO1!H24*0.2+PARCIAL!F24*0.2+'CONSOLIDADO 2'!H24*0.2+'EXAMEN FINAL'!F24*0.4,"")</f>
        <v>3</v>
      </c>
    </row>
    <row r="25" spans="1:2" x14ac:dyDescent="0.25">
      <c r="A25" s="2" t="s">
        <v>62</v>
      </c>
      <c r="B25" s="14">
        <f>IFERROR(CONSOLIDADO1!H25*0.2+PARCIAL!F25*0.2+'CONSOLIDADO 2'!H25*0.2+'EXAMEN FINAL'!F25*0.4,"")</f>
        <v>5</v>
      </c>
    </row>
    <row r="26" spans="1:2" x14ac:dyDescent="0.25">
      <c r="A26" s="2"/>
      <c r="B26" s="14">
        <f>IFERROR(CONSOLIDADO1!H26*0.2+PARCIAL!F26*0.2+'CONSOLIDADO 2'!H26*0.2+'EXAMEN FINAL'!F26*0.4,"")</f>
        <v>0</v>
      </c>
    </row>
    <row r="27" spans="1:2" x14ac:dyDescent="0.25">
      <c r="A27" s="2"/>
      <c r="B27" s="14">
        <f>IFERROR(CONSOLIDADO1!H27*0.2+PARCIAL!F27*0.2+'CONSOLIDADO 2'!H27*0.2+'EXAMEN FINAL'!F27*0.4,"")</f>
        <v>0</v>
      </c>
    </row>
    <row r="28" spans="1:2" x14ac:dyDescent="0.25">
      <c r="A28" s="2"/>
      <c r="B28" s="14">
        <f>IFERROR(CONSOLIDADO1!H28*0.2+PARCIAL!F28*0.2+'CONSOLIDADO 2'!H28*0.2+'EXAMEN FINAL'!F28*0.4,"")</f>
        <v>0</v>
      </c>
    </row>
    <row r="29" spans="1:2" x14ac:dyDescent="0.25">
      <c r="A29" s="2"/>
      <c r="B29" s="14">
        <f>IFERROR(CONSOLIDADO1!H29*0.2+PARCIAL!F29*0.2+'CONSOLIDADO 2'!H29*0.2+'EXAMEN FINAL'!F29*0.4,"")</f>
        <v>0</v>
      </c>
    </row>
    <row r="30" spans="1:2" x14ac:dyDescent="0.25">
      <c r="A30" s="2"/>
      <c r="B30" s="14">
        <f>IFERROR(CONSOLIDADO1!H30*0.2+PARCIAL!F30*0.2+'CONSOLIDADO 2'!H30*0.2+'EXAMEN FINAL'!F30*0.4,"")</f>
        <v>0</v>
      </c>
    </row>
    <row r="31" spans="1:2" x14ac:dyDescent="0.25">
      <c r="A31" s="2"/>
      <c r="B31" s="14">
        <f>IFERROR(CONSOLIDADO1!H31*0.2+PARCIAL!F31*0.2+'CONSOLIDADO 2'!H31*0.2+'EXAMEN FINAL'!F31*0.4,"")</f>
        <v>0</v>
      </c>
    </row>
    <row r="32" spans="1:2" x14ac:dyDescent="0.25">
      <c r="A32" s="2"/>
      <c r="B32" s="14">
        <f>IFERROR(CONSOLIDADO1!H32*0.2+PARCIAL!F32*0.2+'CONSOLIDADO 2'!H32*0.2+'EXAMEN FINAL'!F32*0.4,"")</f>
        <v>0</v>
      </c>
    </row>
    <row r="33" spans="1:2" x14ac:dyDescent="0.25">
      <c r="A33" s="2"/>
      <c r="B33" s="14">
        <f>IFERROR(CONSOLIDADO1!H33*0.2+PARCIAL!F33*0.2+'CONSOLIDADO 2'!H33*0.2+'EXAMEN FINAL'!F33*0.4,"")</f>
        <v>0</v>
      </c>
    </row>
    <row r="34" spans="1:2" x14ac:dyDescent="0.25">
      <c r="A34" s="2"/>
      <c r="B34" s="14">
        <f>IFERROR(CONSOLIDADO1!H34*0.2+PARCIAL!F34*0.2+'CONSOLIDADO 2'!H34*0.2+'EXAMEN FINAL'!F34*0.4,"")</f>
        <v>0</v>
      </c>
    </row>
    <row r="35" spans="1:2" x14ac:dyDescent="0.25">
      <c r="A35" s="2"/>
      <c r="B35" s="14">
        <f>IFERROR(CONSOLIDADO1!H35*0.2+PARCIAL!F35*0.2+'CONSOLIDADO 2'!H35*0.2+'EXAMEN FINAL'!F35*0.4,"")</f>
        <v>0</v>
      </c>
    </row>
    <row r="36" spans="1:2" x14ac:dyDescent="0.25">
      <c r="A36" s="2"/>
      <c r="B36" s="14">
        <f>IFERROR(CONSOLIDADO1!H36*0.2+PARCIAL!F36*0.2+'CONSOLIDADO 2'!H36*0.2+'EXAMEN FINAL'!F36*0.4,"")</f>
        <v>0</v>
      </c>
    </row>
    <row r="37" spans="1:2" x14ac:dyDescent="0.25">
      <c r="A37" s="2"/>
      <c r="B37" s="14">
        <f>IFERROR(CONSOLIDADO1!H37*0.2+PARCIAL!F37*0.2+'CONSOLIDADO 2'!H37*0.2+'EXAMEN FINAL'!F37*0.4,"")</f>
        <v>0</v>
      </c>
    </row>
    <row r="38" spans="1:2" x14ac:dyDescent="0.25">
      <c r="A38" s="2"/>
      <c r="B38" s="14">
        <f>IFERROR(CONSOLIDADO1!H38*0.2+PARCIAL!F38*0.2+'CONSOLIDADO 2'!H38*0.2+'EXAMEN FINAL'!F38*0.4,"")</f>
        <v>0</v>
      </c>
    </row>
    <row r="39" spans="1:2" x14ac:dyDescent="0.25">
      <c r="A39" s="2"/>
      <c r="B39" s="14">
        <f>IFERROR(CONSOLIDADO1!H39*0.2+PARCIAL!F39*0.2+'CONSOLIDADO 2'!H39*0.2+'EXAMEN FINAL'!F39*0.4,"")</f>
        <v>0</v>
      </c>
    </row>
    <row r="40" spans="1:2" x14ac:dyDescent="0.25">
      <c r="A40" s="2"/>
      <c r="B40" s="14">
        <f>IFERROR(CONSOLIDADO1!H40*0.2+PARCIAL!F40*0.2+'CONSOLIDADO 2'!H40*0.2+'EXAMEN FINAL'!F40*0.4,"")</f>
        <v>0</v>
      </c>
    </row>
    <row r="41" spans="1:2" x14ac:dyDescent="0.25">
      <c r="A41" s="2"/>
      <c r="B41" s="14">
        <f>IFERROR(CONSOLIDADO1!H41*0.2+PARCIAL!F41*0.2+'CONSOLIDADO 2'!H41*0.2+'EXAMEN FINAL'!F41*0.4,"")</f>
        <v>0</v>
      </c>
    </row>
    <row r="42" spans="1:2" x14ac:dyDescent="0.25">
      <c r="A42" s="2"/>
      <c r="B42" s="14">
        <f>IFERROR(CONSOLIDADO1!H42*0.2+PARCIAL!F42*0.2+'CONSOLIDADO 2'!H42*0.2+'EXAMEN FINAL'!F42*0.4,"")</f>
        <v>0</v>
      </c>
    </row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x14ac:dyDescent="0.25"/>
  </sheetData>
  <mergeCells count="1">
    <mergeCell ref="B1:B2"/>
  </mergeCells>
  <conditionalFormatting sqref="B3:B42">
    <cfRule type="cellIs" dxfId="3" priority="1" operator="lessThan">
      <formula>10.5</formula>
    </cfRule>
    <cfRule type="cellIs" dxfId="2" priority="2" operator="greaterThan">
      <formula>10.49</formula>
    </cfRule>
    <cfRule type="cellIs" dxfId="1" priority="3" operator="lessThan">
      <formula>11</formula>
    </cfRule>
    <cfRule type="cellIs" dxfId="0" priority="4" operator="greaterThan">
      <formula>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CONSOLIDADO1</vt:lpstr>
      <vt:lpstr>NOTAS-CISCO-CAP1-4 y del 14-16</vt:lpstr>
      <vt:lpstr>PARCIAL</vt:lpstr>
      <vt:lpstr>CONSOLIDADO 2</vt:lpstr>
      <vt:lpstr>NOTAS-CISCO-CAP5-FINAL</vt:lpstr>
      <vt:lpstr>EXAMEN FINAL</vt:lpstr>
      <vt:lpstr>RESULTADO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Alumno</cp:lastModifiedBy>
  <dcterms:created xsi:type="dcterms:W3CDTF">2017-09-11T23:23:17Z</dcterms:created>
  <dcterms:modified xsi:type="dcterms:W3CDTF">2025-11-25T02:00:26Z</dcterms:modified>
</cp:coreProperties>
</file>